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projects\Junomoneta\midterms_elections_results\"/>
    </mc:Choice>
  </mc:AlternateContent>
  <xr:revisionPtr revIDLastSave="0" documentId="13_ncr:1_{9647ECA4-434A-43BD-9169-348811631974}" xr6:coauthVersionLast="47" xr6:coauthVersionMax="47" xr10:uidLastSave="{00000000-0000-0000-0000-000000000000}"/>
  <bookViews>
    <workbookView xWindow="-120" yWindow="-120" windowWidth="29040" windowHeight="15720" tabRatio="500" xr2:uid="{00000000-000D-0000-FFFF-FFFF00000000}"/>
  </bookViews>
  <sheets>
    <sheet name="Read Me" sheetId="1" r:id="rId1"/>
    <sheet name="Executive Summary" sheetId="2" r:id="rId2"/>
    <sheet name="YoY Fundamentals" sheetId="3" r:id="rId3"/>
    <sheet name="The N-Pattern Visualized" sheetId="4" r:id="rId4"/>
    <sheet name="Probability Scorecard" sheetId="5" r:id="rId5"/>
    <sheet name="Hypothesis Tests" sheetId="6" r:id="rId6"/>
    <sheet name="Midterm Cycle Effect" sheetId="7" r:id="rId7"/>
    <sheet name="Data - SPX" sheetId="8" r:id="rId8"/>
    <sheet name="Data - DJI" sheetId="9" r:id="rId9"/>
    <sheet name="Data - NASDAQ" sheetId="10" r:id="rId10"/>
    <sheet name="Data - Avg Path" sheetId="11" r:id="rId11"/>
  </sheet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D30" i="7" l="1"/>
  <c r="C30" i="7"/>
  <c r="B30" i="7"/>
  <c r="D29" i="7"/>
  <c r="C29" i="7"/>
  <c r="B29" i="7"/>
  <c r="D28" i="7"/>
  <c r="C28" i="7"/>
  <c r="B28" i="7"/>
  <c r="D27" i="7"/>
  <c r="C27" i="7"/>
  <c r="B27" i="7"/>
  <c r="C31" i="6"/>
  <c r="D31" i="6" s="1"/>
  <c r="B31" i="6"/>
  <c r="B30" i="6"/>
  <c r="C30" i="6" s="1"/>
  <c r="B29" i="6"/>
  <c r="C24" i="6"/>
  <c r="B24" i="6"/>
  <c r="D24" i="6" s="1"/>
  <c r="B23" i="6"/>
  <c r="B22" i="6"/>
  <c r="C17" i="6"/>
  <c r="B17" i="6"/>
  <c r="D17" i="6" s="1"/>
  <c r="C16" i="6"/>
  <c r="B16" i="6"/>
  <c r="E16" i="6" s="1"/>
  <c r="F16" i="6" s="1"/>
  <c r="C15" i="6"/>
  <c r="B15" i="6"/>
  <c r="E15" i="6" s="1"/>
  <c r="F15" i="6" s="1"/>
  <c r="D9" i="6"/>
  <c r="C9" i="6"/>
  <c r="E9" i="6" s="1"/>
  <c r="F9" i="6" s="1"/>
  <c r="B9" i="6"/>
  <c r="D8" i="6"/>
  <c r="C8" i="6"/>
  <c r="E8" i="6" s="1"/>
  <c r="F8" i="6" s="1"/>
  <c r="B8" i="6"/>
  <c r="D7" i="6"/>
  <c r="C7" i="6"/>
  <c r="E7" i="6" s="1"/>
  <c r="F7" i="6" s="1"/>
  <c r="B7" i="6"/>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K21" i="3"/>
  <c r="J21" i="3"/>
  <c r="I21" i="3"/>
  <c r="H21" i="3"/>
  <c r="G21" i="3"/>
  <c r="F21" i="3"/>
  <c r="E21" i="3"/>
  <c r="B21" i="3"/>
  <c r="K20" i="3"/>
  <c r="J20" i="3"/>
  <c r="I20" i="3"/>
  <c r="H20" i="3"/>
  <c r="G20" i="3"/>
  <c r="F20" i="3"/>
  <c r="E20" i="3"/>
  <c r="B20" i="3"/>
  <c r="K19" i="3"/>
  <c r="J19" i="3"/>
  <c r="I19" i="3"/>
  <c r="H19" i="3"/>
  <c r="G19" i="3"/>
  <c r="F19" i="3"/>
  <c r="E19" i="3"/>
  <c r="B19" i="3"/>
  <c r="K18" i="3"/>
  <c r="J18" i="3"/>
  <c r="I18" i="3"/>
  <c r="H18" i="3"/>
  <c r="G18" i="3"/>
  <c r="F18" i="3"/>
  <c r="E18" i="3"/>
  <c r="B18" i="3"/>
  <c r="K17" i="3"/>
  <c r="J17" i="3"/>
  <c r="I17" i="3"/>
  <c r="H17" i="3"/>
  <c r="G17" i="3"/>
  <c r="F17" i="3"/>
  <c r="E17" i="3"/>
  <c r="B17" i="3"/>
  <c r="K16" i="3"/>
  <c r="J16" i="3"/>
  <c r="I16" i="3"/>
  <c r="H16" i="3"/>
  <c r="G16" i="3"/>
  <c r="F16" i="3"/>
  <c r="E16" i="3"/>
  <c r="B16" i="3"/>
  <c r="K15" i="3"/>
  <c r="J15" i="3"/>
  <c r="I15" i="3"/>
  <c r="H15" i="3"/>
  <c r="G15" i="3"/>
  <c r="F15" i="3"/>
  <c r="E15" i="3"/>
  <c r="B15" i="3"/>
  <c r="K14" i="3"/>
  <c r="J14" i="3"/>
  <c r="I14" i="3"/>
  <c r="H14" i="3"/>
  <c r="G14" i="3"/>
  <c r="F14" i="3"/>
  <c r="E14" i="3"/>
  <c r="B14" i="3"/>
  <c r="K13" i="3"/>
  <c r="J13" i="3"/>
  <c r="I13" i="3"/>
  <c r="H13" i="3"/>
  <c r="G13" i="3"/>
  <c r="F13" i="3"/>
  <c r="E13" i="3"/>
  <c r="B13" i="3"/>
  <c r="K12" i="3"/>
  <c r="J12" i="3"/>
  <c r="I12" i="3"/>
  <c r="H12" i="3"/>
  <c r="G12" i="3"/>
  <c r="F12" i="3"/>
  <c r="E12" i="3"/>
  <c r="B12" i="3"/>
  <c r="K11" i="3"/>
  <c r="J11" i="3"/>
  <c r="I11" i="3"/>
  <c r="H11" i="3"/>
  <c r="G11" i="3"/>
  <c r="F11" i="3"/>
  <c r="E11" i="3"/>
  <c r="B11" i="3"/>
  <c r="K10" i="3"/>
  <c r="J10" i="3"/>
  <c r="I10" i="3"/>
  <c r="H10" i="3"/>
  <c r="G10" i="3"/>
  <c r="F10" i="3"/>
  <c r="E10" i="3"/>
  <c r="B10" i="3"/>
  <c r="K9" i="3"/>
  <c r="J9" i="3"/>
  <c r="I9" i="3"/>
  <c r="H9" i="3"/>
  <c r="G9" i="3"/>
  <c r="F9" i="3"/>
  <c r="E9" i="3"/>
  <c r="B9" i="3"/>
  <c r="K8" i="3"/>
  <c r="J8" i="3"/>
  <c r="I8" i="3"/>
  <c r="H8" i="3"/>
  <c r="G8" i="3"/>
  <c r="F8" i="3"/>
  <c r="E8" i="3"/>
  <c r="B8" i="3"/>
  <c r="K7" i="3"/>
  <c r="J7" i="3"/>
  <c r="I7" i="3"/>
  <c r="H7" i="3"/>
  <c r="G7" i="3"/>
  <c r="F7" i="3"/>
  <c r="E7" i="3"/>
  <c r="B7" i="3"/>
  <c r="K6" i="3"/>
  <c r="J6" i="3"/>
  <c r="I6" i="3"/>
  <c r="H6" i="3"/>
  <c r="G6" i="3"/>
  <c r="F6" i="3"/>
  <c r="E6" i="3"/>
  <c r="B6" i="3"/>
  <c r="K5" i="3"/>
  <c r="J5" i="3"/>
  <c r="I5" i="3"/>
  <c r="H5" i="3"/>
  <c r="G5" i="3"/>
  <c r="F5" i="3"/>
  <c r="E5" i="3"/>
  <c r="B5" i="3"/>
  <c r="E17" i="6" l="1"/>
  <c r="F17" i="6" s="1"/>
  <c r="D30" i="6"/>
  <c r="C22" i="6"/>
  <c r="D22" i="6" s="1"/>
  <c r="D15" i="6"/>
  <c r="C23" i="6"/>
  <c r="D23" i="6" s="1"/>
  <c r="D16" i="6"/>
  <c r="C29" i="6"/>
  <c r="D29" i="6" s="1"/>
</calcChain>
</file>

<file path=xl/sharedStrings.xml><?xml version="1.0" encoding="utf-8"?>
<sst xmlns="http://schemas.openxmlformats.org/spreadsheetml/2006/main" count="553" uniqueCount="324">
  <si>
    <t>Read Me - How This Workbook Is Organized</t>
  </si>
  <si>
    <t>Executive Summary</t>
  </si>
  <si>
    <t>Start here. The one-line takeaway, a confidence-tiered list of findings (high / moderate / low), key stat tiles, and a map of the rest of the workbook.</t>
  </si>
  <si>
    <t>YoY Fundamentals</t>
  </si>
  <si>
    <t>The core deliverable you asked for: one row per midterm-election year (1962-2026) with the macro catalyst, a plain-language 'what happened' narrative, and the SPX/DJI/Nasdaq reaction.</t>
  </si>
  <si>
    <t>The N-Pattern Visualized</t>
  </si>
  <si>
    <t>The averaged price-path chart the 'N' idea comes from, with phase-by-phase annotation, plus a chart showing how often a true N actually occurs versus the more common 'higher low, no retest' outcome.</t>
  </si>
  <si>
    <t>Probability Scorecard</t>
  </si>
  <si>
    <t>Every observation (rally into the election, retest odds, 6/12-month odds, etc.) as a live, color-coded hit rate, recalculated with COUNTIF/COUNTIFS formulas straight from the data tabs.</t>
  </si>
  <si>
    <t>Hypothesis Tests</t>
  </si>
  <si>
    <t>Four formal statistical tests: (1) is the average 6-month return different from zero, (2) is 'up 6 months later' better than a coin flip, (3) does the pre-election rally size predict the 6-month return, (4) does the depth of the post-election dip predict the 6-month rebound.</t>
  </si>
  <si>
    <t>Midterm Cycle Effect</t>
  </si>
  <si>
    <t>Puts midterm years in context against the other three years of the 4-year presidential cycle - this is the well-documented 'midterm effect' and the main reason the 6-month odds are so good.</t>
  </si>
  <si>
    <t>Data - SPX / DJI / NASDAQ</t>
  </si>
  <si>
    <t>The underlying event tables (your original research, cleaned up) that every formula in this workbook pulls from. 2026 is included for the record but flagged amber and excluded from every stat - see note below.</t>
  </si>
  <si>
    <t>Data - Avg Path</t>
  </si>
  <si>
    <t>The trading-day-by-trading-day average index path (rebased to 100 at the election close) used to draw the N-pattern chart.</t>
  </si>
  <si>
    <t>A DATA ISSUE WE FOUND AND FIXED</t>
  </si>
  <si>
    <t>Your DJI and NASDAQ tabs had a 2026 row with 1-day/5-day/10-day return values already filled in, even though the 2026 midterm election (Nov 3, 2026) had not happened as of this report. Those figures can't be real yet, so they look like placeholder or test data left in the sheet. We kept the row for completeness (amber-flagged in the Data tabs) but excluded it from every average, probability, and statistical test in this workbook. Worth double-checking where those numbers came from before anyone else sees the file.</t>
  </si>
  <si>
    <t>METHODOLOGY &amp; CAVEATS</t>
  </si>
  <si>
    <t>•  Sample size is small (n=16 SPX/DJI cycles, n=13 Nasdaq cycles since Nasdaq composite data only goes back to 1974). Treat every probability as a historical frequency, not a forward guarantee.</t>
  </si>
  <si>
    <t>•  Every cycle's macro backdrop was different (wars, Fed regimes, crises) - this is a seasonality study, not a causal model. The fundamentals column explains what likely drove each cycle, it does not prove the pattern will repeat for the same reasons.</t>
  </si>
  <si>
    <t>•  'Low/pre-low', 'retest' and 'shape' definitions follow your original workbook's methodology exactly - we did not redefine them.</t>
  </si>
  <si>
    <t>•  All statistical tests (t-tests, binomial tests, correlations) were computed independently in Python (SciPy) and then rebuilt as live Excel formulas (TDIST, BINOMDIST, CORREL) - the two matched exactly, so the Excel formulas you see are reproducible and will recalculate if you edit the underlying data.</t>
  </si>
  <si>
    <t>•  This is historical/statistical research, not investment advice.</t>
  </si>
  <si>
    <t>Midterm-Election Seasonality Study - Executive Summary</t>
  </si>
  <si>
    <t>US equity markets, 16 midterm-election cycles (1962-2022) | S&amp;P 500, Dow, Nasdaq | 2026 cycle in progress, not yet in the averages | Prepared November 01, 2026</t>
  </si>
  <si>
    <t>THE ONE-LINE TAKEAWAY</t>
  </si>
  <si>
    <t>Midterm-election years have, without exception in 16 straight cycles, finished the following six months higher - and by a wide margin (+14% average). That part is extremely well-supported. The 'dip-rally-dip-rally' N-shape you noticed is real on average, but a single clean N only shows up in roughly 3 years out of 10 - most years just climb without ever coming back down to retest the low. Pitch the destination (strong 6-12mo seasonality), not the exact route.</t>
  </si>
  <si>
    <t>WHAT WE'RE CONFIDENT ABOUT vs WHAT'S JUST A DESCRIPTIVE PATTERN</t>
  </si>
  <si>
    <t>HIGH CONFIDENCE</t>
  </si>
  <si>
    <t>•  Stocks rally INTO election day - 16/16 SPX cycles, statistically significant (p&lt;0.0001).</t>
  </si>
  <si>
    <t>•  Stocks are higher 6 months after the election - 16/16 SPX, 15/16 DJI, 10/13 Nasdaq; p&lt;0.05 on every index.</t>
  </si>
  <si>
    <t>•  Midterm years outperform the other 3 years of the presidential cycle on average 6M/12M return (the well-documented 'midterm effect').</t>
  </si>
  <si>
    <t>MODERATE CONFIDENCE</t>
  </si>
  <si>
    <t>•  A deeper post-election dip tends to precede a bigger 6-month rebound for DJI &amp; Nasdaq (r=0.68-0.79, p&lt;0.01) - weaker/absent for SPX.</t>
  </si>
  <si>
    <t>•  A hotter rally INTO the election tends to borrow from, not add to, the 6-month move for DJI &amp; Nasdaq (r=-0.56 to -0.71) - this is a mean-reversion signal, not a green light.</t>
  </si>
  <si>
    <t>LOW CONFIDENCE / DON'T OVERSELL</t>
  </si>
  <si>
    <t>•  The literal 'N' (dip &gt; rally &gt; retest near old low &gt; rally) happens only 15-31% of the time, depending on index - it is the minority shape.</t>
  </si>
  <si>
    <t>•  n = 13-16 cycles total. Every macro backdrop (Fed policy, inflation, wars, crises) was different - this is seasonality, not causation.</t>
  </si>
  <si>
    <t>•  The next-day and 10-session-after-election reactions are close to a coin flip - don't promise a short-term pop.</t>
  </si>
  <si>
    <t>KEY NUMBERS AT A GLANCE</t>
  </si>
  <si>
    <t>100%</t>
  </si>
  <si>
    <t>+13.8%</t>
  </si>
  <si>
    <t>31%</t>
  </si>
  <si>
    <t>+14.2 pts</t>
  </si>
  <si>
    <t>of SPX cycles finished up 6 months after the election</t>
  </si>
  <si>
    <t>average SPX return, election close -&gt; +6 months</t>
  </si>
  <si>
    <t>of SPX years actually traced a true 'N' retest</t>
  </si>
  <si>
    <t>SPX midterm-year 6M return advantage vs pre-election years</t>
  </si>
  <si>
    <t>WHERE TO GO NEXT IN THIS WORKBOOK</t>
  </si>
  <si>
    <t>Year-by-year table: what macro event caused each dip, and how each index reacted.</t>
  </si>
  <si>
    <t>The actual averaged chart your 'N' is based on, plus how often each shape really occurs.</t>
  </si>
  <si>
    <t>Every observation as a live, recalculating hit-rate with a plain-English read.</t>
  </si>
  <si>
    <t>The statistical tests behind the 'high/moderate/low confidence' calls above.</t>
  </si>
  <si>
    <t>Why midterm years specifically outperform the other 3 years of the presidential cycle.</t>
  </si>
  <si>
    <t>Midterm-Election Years: Year-by-Year Market Reaction &amp; the Fundamental Story Behind It</t>
  </si>
  <si>
    <t>Every US midterm election since 1962. 'Catalyst' = the dominant macro driver into/out of that election. Returns are % price moves starting from the pre-election low / election-day close, as defined in the source study. 2026 is still in progress and excluded from every average and probability in this workbook.</t>
  </si>
  <si>
    <t>Year</t>
  </si>
  <si>
    <t>Election Date</t>
  </si>
  <si>
    <t>Catalyst</t>
  </si>
  <si>
    <t>What Happened (the fundamental story)</t>
  </si>
  <si>
    <t>Pre-Election
Rally % (SPX)</t>
  </si>
  <si>
    <t>Post-Election
Retest Drop % (SPX)</t>
  </si>
  <si>
    <t>Shape (SPX)</t>
  </si>
  <si>
    <t>SPX 6M Return</t>
  </si>
  <si>
    <t>DJI 6M Return</t>
  </si>
  <si>
    <t>NDQ 6M Return</t>
  </si>
  <si>
    <t>SPX 12M Return</t>
  </si>
  <si>
    <t>Geopolitical / War: Cuban Missile Crisis</t>
  </si>
  <si>
    <t>Market was still digesting the spring 1962 'Kennedy Slide' when the Cuban Missile Crisis (Oct 16-28) pushed fear to a peak right before the election. Khrushchev's climb-down (Oct 28) removed the single biggest tail risk markets had priced in decades, triggering a relief rally.</t>
  </si>
  <si>
    <t>Fed Tightening: 1966 Credit Crunch</t>
  </si>
  <si>
    <t>The Fed tightened aggressively and Regulation Q deposit-rate ceilings caused a 'disintermediation' credit crunch, sparking recession fears into the election. The Fed eased in early 1967 and the economy achieved a rare soft landing, fueling the rebound.</t>
  </si>
  <si>
    <t>Financial / Credit Crisis: Penn Central bankruptcy</t>
  </si>
  <si>
    <t>The Penn Central Railroad's bankruptcy (Jun 1970) froze the commercial-paper market; the Fed (under Burns) opened the discount window to backstop liquidity. Combined with the economy exiting the 1969-70 recession, this liquidity rescue underpinned the rebound.</t>
  </si>
  <si>
    <t>Inflation Shock: Oil embargo / Watergate / Stagflation</t>
  </si>
  <si>
    <t>The 1973 OPEC oil embargo, double-digit inflation and Nixon's resignation (Aug 1974) drove the worst bear market since the Depression. By the October low, selling was exhausted and the Fed began easing - producing the largest rally in this dataset (+23% into the close alone).</t>
  </si>
  <si>
    <t>Inflation Shock: Dollar crisis / sluggish Fed</t>
  </si>
  <si>
    <t>Persistent inflation and a weak dollar continued under a Fed (G. William Miller) seen as slow to respond (Volcker was not appointed chair until Aug 1979). Moves were comparatively small both into and after the election.</t>
  </si>
  <si>
    <t>Recession: Volcker disinflation / recession trough</t>
  </si>
  <si>
    <t>Volcker's rate shock broke 1970s inflation but caused the brutal 1981-82 recession (unemployment &gt;10%). By Aug-Oct 1982 inflation was clearly breaking and the Fed pivoted to easing - the starting gun for an 18-year secular bull market.</t>
  </si>
  <si>
    <t>Valuation Reset: Tax reform / oil price collapse</t>
  </si>
  <si>
    <t>The 1986 Tax Reform Act and an OPEC-driven oil price collapse added uncertainty into an already extended bull run; Iran-Contra broke publicly in November. Moves were modest - this was the calm before the Oct 1987 crash, not yet visible in the data.</t>
  </si>
  <si>
    <t>Geopolitical / War: Gulf War / oil shock / S&amp;L crisis</t>
  </si>
  <si>
    <t>Iraq's invasion of Kuwait (Aug 1990) spiked oil prices and the S&amp;L crisis stressed banks just as the economy tipped into recession (Jul 1990-Mar 1991). The market bottomed in October, well ahead of the swift Jan 1991 Desert Storm resolution, and rallied on that clarity.</t>
  </si>
  <si>
    <t>Fed Tightening: 'Bond Massacre' rate-hike cycle</t>
  </si>
  <si>
    <t>Greenspan's Fed doubled the funds rate from 3% to 6% over 1994 - the worst year for bonds in decades - and a Mexican peso crisis emerged in December. Equities chopped sideways most of the year, then rallied once the hiking cycle visibly neared its end (final hike Feb 1995).</t>
  </si>
  <si>
    <t>Financial / Credit Crisis: Russia default / LTCM collapse</t>
  </si>
  <si>
    <t>Russia's August 1998 debt default and the collapse of hedge fund LTCM in September triggered a sharp global liquidity scare. The Fed cut rates three times in quick succession (Sep-Nov 1998), producing the fastest V-shaped recovery in the dataset and feeding the dot-com mania.</t>
  </si>
  <si>
    <t>Valuation Reset: Dot-com bust / accounting scandals</t>
  </si>
  <si>
    <t>The tail of the 2000-02 bear market, WorldCom/accounting scandals and an impending Iraq War weighed on sentiment. The October 2002 low marked the cyclical bottom of the bear market, and the subsequent rally was the simple mechanical result of extreme prior oversold conditions.</t>
  </si>
  <si>
    <t>Calm / Low Volatility: Fed pause, pre-housing-crisis calm</t>
  </si>
  <si>
    <t>The Fed had just finished hiking (last move Jun 2006) and the housing market was only beginning to cool - genuine crisis conditions were still a year away. This is the lowest-volatility cycle in the dataset.</t>
  </si>
  <si>
    <t>Financial / Credit Crisis: European debt crisis / Flash Crash / QE2</t>
  </si>
  <si>
    <t>The Greek bailout and European sovereign-debt crisis, the May 6 2010 'Flash Crash' and double-dip fears weighed on markets into mid-year. The Fed pre-announced QE2 at Jackson Hole (Aug) and formally launched it three days after the election (Nov 3) - a textbook liquidity-driven rally.</t>
  </si>
  <si>
    <t>Valuation Reset: Taper end / Ebola scare / oil collapse begins</t>
  </si>
  <si>
    <t>The Fed's QE3 taper concluded in October 2014 just as Ebola headlines and slowing global growth (Europe, China) triggered a sharp but short correction; OPEC's Nov 2014 decision not to cut output then began the 2014-16 oil crash. Growth fears proved overdone and the market recovered quickly.</t>
  </si>
  <si>
    <t>Fed Tightening: Four Fed hikes / US-China trade war</t>
  </si>
  <si>
    <t>The Fed hiked four times in 2018 and Chair Powell's October comment that rates were 'a long way from neutral' spooked markets already contending with escalating US-China tariffs. A sharp Q4 selloff bottomed Dec 24, 2018 - the Fed's dovish 'patient' pivot in January 2019 sparked the rebound.</t>
  </si>
  <si>
    <t>Inflation Shock: 40-yr-high inflation / fastest hiking cycle / Ukraine war</t>
  </si>
  <si>
    <t>Russia's Feb 2022 invasion of Ukraine added to already 40-year-high inflation, prompting the Fed's fastest tightening cycle in decades (several 75bp hikes). The market bottomed Oct 13, 2022 - the day of a hot CPI print - right before the midterms, and 'Fed pivot' hopes (a smaller Dec hike) fueled the rally into 2023.</t>
  </si>
  <si>
    <t>DATA INCOMPLETE: Election not yet held (Nov 3, 2026)</t>
  </si>
  <si>
    <t>This row is still in progress: the election has not occurred as of this report, so post-election fields (retest, 3m/6m/12m returns) are blank by design. The 1d/5d/10d/1m return figures entered in the source file predate the election and should not be used - they appear to be placeholder/test values and are excluded from every statistic in this workbook.</t>
  </si>
  <si>
    <t>The Average Path: What Actually Happens Around a Midterm Election</t>
  </si>
  <si>
    <t>Average of every completed cycle, each index rebased to 100 at the election-day close. Trading day 0 = election day. This is the 'N' you were seeing - averaged across history it is real, even though any single year rarely traces it this cleanly (see Probability Scorecard).</t>
  </si>
  <si>
    <t>Reading the curve, left to right:</t>
  </si>
  <si>
    <t>Day -30 to ~-10</t>
  </si>
  <si>
    <t>PRE-ELECTION DIP</t>
  </si>
  <si>
    <t>Index drifts to its cycle low. On average this is the single worst stretch of the whole window.</t>
  </si>
  <si>
    <t>~Day -10 to 0</t>
  </si>
  <si>
    <t>RALLY INTO THE ELECTION</t>
  </si>
  <si>
    <t>Markets climb into election day itself - this leg is up in 100% of SPX years and ~81% of DJI years.</t>
  </si>
  <si>
    <t>Day 0 to ~+20/+30</t>
  </si>
  <si>
    <t>POST-ELECTION CHOP / RETEST</t>
  </si>
  <si>
    <t>A flatter, choppier stretch where the second dip of a true 'N' would occur - but only in a minority of years does it actually retest the old low.</t>
  </si>
  <si>
    <t>~Day +40 to +130</t>
  </si>
  <si>
    <t>THE 6-MONTH RALLY</t>
  </si>
  <si>
    <t>The dominant, most reliable leg: index levels run roughly 10-16% above the election close by six months out, across all three indices.</t>
  </si>
  <si>
    <t>How Often Does Each Shape Actually Occur? (this is the honesty check on the 'N' story)</t>
  </si>
  <si>
    <t>Shape</t>
  </si>
  <si>
    <t>SPX</t>
  </si>
  <si>
    <t>DJI</t>
  </si>
  <si>
    <t>NASDAQ</t>
  </si>
  <si>
    <t>Higher low (no real retest)</t>
  </si>
  <si>
    <t>N (retest ~ old low)</t>
  </si>
  <si>
    <t>N (retest makes lower low)</t>
  </si>
  <si>
    <t>No pre-election rally</t>
  </si>
  <si>
    <t>Probability Scorecard - How Often Has Each Part of the Pattern Actually Happened?</t>
  </si>
  <si>
    <t>Historical hit-rate for each observation, 1962-2022 (n=16 SPX/DJI cycles, n=13 Nasdaq cycles - 2026 excluded as incomplete). These are simple historical frequencies, not forward-looking guarantees. Small sample sizes (n&lt;20) mean single outlier years can move a percentage a lot.</t>
  </si>
  <si>
    <t>Observation</t>
  </si>
  <si>
    <t>Read for a non-technical stakeholder</t>
  </si>
  <si>
    <t>Market rallies into election day (low -&gt; election close is UP)</t>
  </si>
  <si>
    <t>Near-certain. In 16/16 SPX cycles stocks rose from the pre-election low into election day.</t>
  </si>
  <si>
    <t>That pre-election rally is &gt;= 5%</t>
  </si>
  <si>
    <t>A real rally, not noise - happens about 6 times in 10.</t>
  </si>
  <si>
    <t>Day after the election is UP</t>
  </si>
  <si>
    <t>Coin-flip-to-favorable. Don't read too much into the very next day.</t>
  </si>
  <si>
    <t>Market is UP 3 months after the election</t>
  </si>
  <si>
    <t>Strong favorable odds across all three indices.</t>
  </si>
  <si>
    <t>Market is UP 6 months after the election</t>
  </si>
  <si>
    <t>The single most reliable number in this whole study.</t>
  </si>
  <si>
    <t>Market is UP 12 months after the election</t>
  </si>
  <si>
    <t>Still strongly favorable, though further out and more can intervene.</t>
  </si>
  <si>
    <t>6-month return is a strong gain (&gt;=10%)</t>
  </si>
  <si>
    <t>More than half the time the 6-month move isn't just positive, it's a big move.</t>
  </si>
  <si>
    <t>A genuine 'N' forms: price drops back near/below the pre-election low after the rally</t>
  </si>
  <si>
    <t>This is the part your 'N' story depends on - and it's the MINORITY outcome, not the typical one (see note below).</t>
  </si>
  <si>
    <t>Where a retest happens, it takes price &gt;=5% below the election-day close</t>
  </si>
  <si>
    <t>A real post-election scare is possible but is the exception, not the rule.</t>
  </si>
  <si>
    <t>The eventual low in the 6 months after the election is BELOW the election-day close</t>
  </si>
  <si>
    <t>Almost certain - there is nearly always at least a small post-election wobble somewhere in the next 6 months, even in years that finish strongly up.</t>
  </si>
  <si>
    <t>IMPORTANT CONTEXT ON THE 'N' SHAPE: a true N (dip, rally into the election, a second dip back near the old low, then a rally) only happened in 5 of 16 SPX years (31%), 5 of 16 DJI years (31%), and 2 of 13 Nasdaq years (15%). The far more common shape is 'higher low' - price never comes back down near the old low at all, it just keeps climbing. The reliable part of the pattern is the destination (strong 6-12 month returns), not the literal N-shaped route getting there.</t>
  </si>
  <si>
    <t>Does Any of This Hold Up Statistically? Four Tests on the Underlying Data</t>
  </si>
  <si>
    <t>Formal tests run on the 1962-2022 event data (n=16 SPX/DJI, n=13 Nasdaq). Treat all of this as suggestive, not proof: a 16-point sample cannot establish causation, and every midterm cycle overlaps with the one before and after it (the data points are not fully independent).</t>
  </si>
  <si>
    <t>Test 1 - Is the average 6-month post-election return actually different from zero?</t>
  </si>
  <si>
    <t>One-sample t-test on Ret 6m % across all completed cycles. H0: true mean 6-month return = 0%.</t>
  </si>
  <si>
    <t>Index</t>
  </si>
  <si>
    <t>n</t>
  </si>
  <si>
    <t>Mean 6M Return</t>
  </si>
  <si>
    <t>Std Dev</t>
  </si>
  <si>
    <t>t-stat</t>
  </si>
  <si>
    <t>p-value (two-tail)</t>
  </si>
  <si>
    <t>Read: p &lt; 0.05 means the average post-election rally is very unlikely to be pure noise around zero. All three indices clear that bar comfortably.</t>
  </si>
  <si>
    <t>Test 2 - Is 'up 6 months later' happening more often than a coin flip?</t>
  </si>
  <si>
    <t>One-sided binomial test. H0: true probability of a positive 6-month return = 50% (pure chance).</t>
  </si>
  <si>
    <t>Up-years</t>
  </si>
  <si>
    <t>Observed %</t>
  </si>
  <si>
    <t>P(this many or more heads | fair coin)</t>
  </si>
  <si>
    <t>Verdict</t>
  </si>
  <si>
    <t>Test 3 - Does a BIGGER rally into the election predict a BIGGER (or smaller) 6-month gain afterward?</t>
  </si>
  <si>
    <t>Pearson correlation between 'Rally low-&gt;election close %' and 'Ret 6m %'. Tests momentum (positive corr) vs mean-reversion (negative corr).</t>
  </si>
  <si>
    <t>Correlation (r)</t>
  </si>
  <si>
    <t>Approx. p-value</t>
  </si>
  <si>
    <t>Interpretation</t>
  </si>
  <si>
    <t>Test 4 - Does a DEEPER post-election shakeout predict a BIGGER rebound? ('the shakeout hypothesis')</t>
  </si>
  <si>
    <t>Pearson correlation between 'Retest drop from election close %' (more negative = deeper dip) and 'Ret 6m %'. A positive correlation supports 'the sharper the shakeout, the bigger the eventual rally.'</t>
  </si>
  <si>
    <t>The 'Midterm Effect': Where Midterm Years Rank in the 4-Year Presidential Cycle</t>
  </si>
  <si>
    <t>Every US year since the early 1960s, grouped by its position in the 4-year presidential cycle (year 2 = midterm, year 3 = pre-election, year 4 = presidential election, year 1 = post-election). Source: user's original study file, 'descriptive only'. Not limited to just the 16-17 midterm events above - uses the full annual return history.</t>
  </si>
  <si>
    <t>Cycle Position</t>
  </si>
  <si>
    <t>n (years)</t>
  </si>
  <si>
    <t>Mean 1M %</t>
  </si>
  <si>
    <t>Mean 3M %</t>
  </si>
  <si>
    <t>Mean 6M %</t>
  </si>
  <si>
    <t>Mean 12M %</t>
  </si>
  <si>
    <t>Midterm</t>
  </si>
  <si>
    <t>Post-election</t>
  </si>
  <si>
    <t>Pre-election</t>
  </si>
  <si>
    <t>Presidential</t>
  </si>
  <si>
    <t>Mean 6-Month Return by Cycle Position (chart source)</t>
  </si>
  <si>
    <t>SPX - Midterm Election Event Table (source data)</t>
  </si>
  <si>
    <t>Raw, hand-compiled study data (blue = source input). Each row = one US midterm-election cycle. Percent fields are in %.</t>
  </si>
  <si>
    <t>Election</t>
  </si>
  <si>
    <t>Pre-low date</t>
  </si>
  <si>
    <t>Pre-low price</t>
  </si>
  <si>
    <t>Rally low-&gt;elec close %</t>
  </si>
  <si>
    <t>Peak date</t>
  </si>
  <si>
    <t>Pullback peak-&gt;elec close %</t>
  </si>
  <si>
    <t>Retest low date</t>
  </si>
  <si>
    <t>Retest drop from elec close %</t>
  </si>
  <si>
    <t>Ret 1d %</t>
  </si>
  <si>
    <t>Ret 5d %</t>
  </si>
  <si>
    <t>Ret 10d %</t>
  </si>
  <si>
    <t>Ret 1m %</t>
  </si>
  <si>
    <t>Ret 3m %</t>
  </si>
  <si>
    <t>Ret 6m %</t>
  </si>
  <si>
    <t>Ret 12m %</t>
  </si>
  <si>
    <t>Pre-low -&gt; 6m %</t>
  </si>
  <si>
    <t>Retest low -&gt; 6m %</t>
  </si>
  <si>
    <t>6m worst low vs elec close %</t>
  </si>
  <si>
    <t>JanFeb low vs elec close %</t>
  </si>
  <si>
    <t>1962-11-06</t>
  </si>
  <si>
    <t>1962-10-24</t>
  </si>
  <si>
    <t>1962-11-05</t>
  </si>
  <si>
    <t>1962-11-07</t>
  </si>
  <si>
    <t>1966-11-08</t>
  </si>
  <si>
    <t>1966-10-10</t>
  </si>
  <si>
    <t>1966-11-02</t>
  </si>
  <si>
    <t>1966-11-22</t>
  </si>
  <si>
    <t>1970-11-03</t>
  </si>
  <si>
    <t>1970-09-24</t>
  </si>
  <si>
    <t>1970-10-06</t>
  </si>
  <si>
    <t>1970-11-19</t>
  </si>
  <si>
    <t>1974-11-05</t>
  </si>
  <si>
    <t>1974-10-04</t>
  </si>
  <si>
    <t>1974-10-31</t>
  </si>
  <si>
    <t>1974-12-09</t>
  </si>
  <si>
    <t>1978-11-07</t>
  </si>
  <si>
    <t>1978-10-30</t>
  </si>
  <si>
    <t>1978-11-01</t>
  </si>
  <si>
    <t>1978-11-14</t>
  </si>
  <si>
    <t>1982-11-02</t>
  </si>
  <si>
    <t>1982-10-26</t>
  </si>
  <si>
    <t>1982-11-25</t>
  </si>
  <si>
    <t>1986-11-04</t>
  </si>
  <si>
    <t>1986-09-29</t>
  </si>
  <si>
    <t>1986-11-19</t>
  </si>
  <si>
    <t>1990-11-06</t>
  </si>
  <si>
    <t>1990-10-11</t>
  </si>
  <si>
    <t>1990-10-22</t>
  </si>
  <si>
    <t>1990-11-08</t>
  </si>
  <si>
    <t>1994-11-08</t>
  </si>
  <si>
    <t>1994-10-05</t>
  </si>
  <si>
    <t>1994-10-31</t>
  </si>
  <si>
    <t>1994-12-09</t>
  </si>
  <si>
    <t>1998-11-03</t>
  </si>
  <si>
    <t>1998-10-08</t>
  </si>
  <si>
    <t>1998-11-05</t>
  </si>
  <si>
    <t>2002-11-05</t>
  </si>
  <si>
    <t>2002-10-10</t>
  </si>
  <si>
    <t>2002-11-04</t>
  </si>
  <si>
    <t>2002-12-31</t>
  </si>
  <si>
    <t>2006-11-07</t>
  </si>
  <si>
    <t>2006-11-03</t>
  </si>
  <si>
    <t>2006-11-10</t>
  </si>
  <si>
    <t>2010-11-02</t>
  </si>
  <si>
    <t>2010-10-19</t>
  </si>
  <si>
    <t>2010-10-25</t>
  </si>
  <si>
    <t>2010-11-16</t>
  </si>
  <si>
    <t>2014-11-04</t>
  </si>
  <si>
    <t>2014-10-21</t>
  </si>
  <si>
    <t>2014-11-03</t>
  </si>
  <si>
    <t>2014-12-16</t>
  </si>
  <si>
    <t>2018-11-06</t>
  </si>
  <si>
    <t>2018-10-29</t>
  </si>
  <si>
    <t>2018-12-26</t>
  </si>
  <si>
    <t>2022-11-08</t>
  </si>
  <si>
    <t>2022-10-13</t>
  </si>
  <si>
    <t>2022-11-01</t>
  </si>
  <si>
    <t>2022-11-09</t>
  </si>
  <si>
    <t>DJI - Midterm Election Event Table (source data)</t>
  </si>
  <si>
    <t>1962-11-01</t>
  </si>
  <si>
    <t>1962-12-06</t>
  </si>
  <si>
    <t>1966-11-10</t>
  </si>
  <si>
    <t>1970-10-12</t>
  </si>
  <si>
    <t>1970-12-06</t>
  </si>
  <si>
    <t>1974-11-03</t>
  </si>
  <si>
    <t>1974-12-17</t>
  </si>
  <si>
    <t>1978-11-05</t>
  </si>
  <si>
    <t>1978-12-04</t>
  </si>
  <si>
    <t>1982-10-27</t>
  </si>
  <si>
    <t>1982-11-08</t>
  </si>
  <si>
    <t>1986-10-12</t>
  </si>
  <si>
    <t>1986-12-02</t>
  </si>
  <si>
    <t>1990-10-12</t>
  </si>
  <si>
    <t>1990-11-10</t>
  </si>
  <si>
    <t>1994-10-19</t>
  </si>
  <si>
    <t>1994-12-05</t>
  </si>
  <si>
    <t>1998-10-09</t>
  </si>
  <si>
    <t>1998-10-12</t>
  </si>
  <si>
    <t>1998-12-01</t>
  </si>
  <si>
    <t>2002-11-03</t>
  </si>
  <si>
    <t>2002-11-10</t>
  </si>
  <si>
    <t>2006-11-04</t>
  </si>
  <si>
    <t>2006-11-05</t>
  </si>
  <si>
    <t>2006-12-06</t>
  </si>
  <si>
    <t>2010-12-02</t>
  </si>
  <si>
    <t>2014-10-31</t>
  </si>
  <si>
    <t>2014-12-02</t>
  </si>
  <si>
    <t>2018-11-01</t>
  </si>
  <si>
    <t>2022-11-10</t>
  </si>
  <si>
    <t>2026-11-03</t>
  </si>
  <si>
    <t>2026-10-23</t>
  </si>
  <si>
    <t>NASDAQ - Midterm Election Event Table (source data)</t>
  </si>
  <si>
    <t>1978-12-01</t>
  </si>
  <si>
    <t>1982-10-29</t>
  </si>
  <si>
    <t>1982-12-08</t>
  </si>
  <si>
    <t>1986-10-06</t>
  </si>
  <si>
    <t>1990-12-10</t>
  </si>
  <si>
    <t>1994-11-03</t>
  </si>
  <si>
    <t>1994-12-07</t>
  </si>
  <si>
    <t>1998-09-10</t>
  </si>
  <si>
    <t>2002-11-01</t>
  </si>
  <si>
    <t>2006-11-08</t>
  </si>
  <si>
    <t>2010-10-29</t>
  </si>
  <si>
    <t>2014-12-05</t>
  </si>
  <si>
    <t>2018-12-24</t>
  </si>
  <si>
    <t>2022-12-28</t>
  </si>
  <si>
    <t>2026-10-27</t>
  </si>
  <si>
    <t>Average Price Path by Trading Day vs Election (index rebased to 100 at election close)</t>
  </si>
  <si>
    <t>Mean of all completed midterm cycles per index. Trading day 0 = election-day close. Source: user's event tables.</t>
  </si>
  <si>
    <t>Trading day vs election</t>
  </si>
  <si>
    <t>S&amp;P 500 (SPX)</t>
  </si>
  <si>
    <t>Dow (DJI)</t>
  </si>
  <si>
    <t>Nasdaq (NDQ)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</si>
</sst>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quot;n/a&quot;"/>
    <numFmt numFmtId="165" formatCode="0.0%"/>
    <numFmt numFmtId="166" formatCode="0.0000"/>
  </numFmts>
  <fonts count="27" x14ac:knownFonts="1">
    <font>
      <sz val="11"/>
      <color theme="1"/>
      <name val="Calibri"/>
      <family val="2"/>
      <charset val="1"/>
    </font>
    <font>
      <b/>
      <sz val="16"/>
      <color rgb="FFFFFFFF"/>
      <name val="Calibri"/>
      <charset val="1"/>
    </font>
    <font>
      <b/>
      <sz val="10.5"/>
      <color rgb="FF2E5AAC"/>
      <name val="Calibri"/>
      <charset val="1"/>
    </font>
    <font>
      <sz val="10"/>
      <name val="Calibri"/>
      <charset val="1"/>
    </font>
    <font>
      <b/>
      <sz val="11"/>
      <color rgb="FFFFFFFF"/>
      <name val="Calibri"/>
      <charset val="1"/>
    </font>
    <font>
      <sz val="9.5"/>
      <name val="Calibri"/>
      <charset val="1"/>
    </font>
    <font>
      <b/>
      <sz val="18"/>
      <color rgb="FFFFFFFF"/>
      <name val="Calibri"/>
      <charset val="1"/>
    </font>
    <font>
      <i/>
      <sz val="10"/>
      <color rgb="FF6B7280"/>
      <name val="Calibri"/>
      <charset val="1"/>
    </font>
    <font>
      <sz val="11"/>
      <name val="Calibri"/>
      <charset val="1"/>
    </font>
    <font>
      <b/>
      <sz val="10"/>
      <color rgb="FFFFFFFF"/>
      <name val="Calibri"/>
      <charset val="1"/>
    </font>
    <font>
      <b/>
      <sz val="22"/>
      <color rgb="FF1F2A44"/>
      <name val="Calibri"/>
      <charset val="1"/>
    </font>
    <font>
      <sz val="8.5"/>
      <color rgb="FF6B7280"/>
      <name val="Calibri"/>
      <charset val="1"/>
    </font>
    <font>
      <b/>
      <sz val="10"/>
      <color rgb="FF2E5AAC"/>
      <name val="Calibri"/>
      <charset val="1"/>
    </font>
    <font>
      <b/>
      <sz val="14"/>
      <color rgb="FFFFFFFF"/>
      <name val="Calibri"/>
      <charset val="1"/>
    </font>
    <font>
      <i/>
      <sz val="9"/>
      <color rgb="FF6B7280"/>
      <name val="Calibri"/>
      <charset val="1"/>
    </font>
    <font>
      <b/>
      <sz val="9.5"/>
      <color rgb="FFFFFFFF"/>
      <name val="Calibri"/>
      <charset val="1"/>
    </font>
    <font>
      <b/>
      <sz val="11"/>
      <name val="Calibri"/>
      <charset val="1"/>
    </font>
    <font>
      <b/>
      <sz val="9.5"/>
      <name val="Calibri"/>
      <charset val="1"/>
    </font>
    <font>
      <b/>
      <sz val="9.5"/>
      <color rgb="FF2E5AAC"/>
      <name val="Calibri"/>
      <charset val="1"/>
    </font>
    <font>
      <i/>
      <sz val="9.5"/>
      <name val="Calibri"/>
      <charset val="1"/>
    </font>
    <font>
      <b/>
      <i/>
      <sz val="10"/>
      <color rgb="FFB8720A"/>
      <name val="Calibri"/>
      <charset val="1"/>
    </font>
    <font>
      <b/>
      <sz val="12"/>
      <color rgb="FFFFFFFF"/>
      <name val="Calibri"/>
      <charset val="1"/>
    </font>
    <font>
      <i/>
      <sz val="9"/>
      <color rgb="FF1E7B45"/>
      <name val="Calibri"/>
      <charset val="1"/>
    </font>
    <font>
      <b/>
      <sz val="10"/>
      <name val="Calibri"/>
      <charset val="1"/>
    </font>
    <font>
      <sz val="10"/>
      <color rgb="FF2E5AAC"/>
      <name val="Calibri"/>
      <charset val="1"/>
    </font>
    <font>
      <b/>
      <sz val="13"/>
      <color rgb="FFFFFFFF"/>
      <name val="Calibri"/>
      <charset val="1"/>
    </font>
    <font>
      <sz val="10"/>
      <color rgb="FF000000"/>
      <name val="Calibri"/>
      <charset val="1"/>
    </font>
  </fonts>
  <fills count="18">
    <fill>
      <patternFill patternType="none"/>
    </fill>
    <fill>
      <patternFill patternType="gray125"/>
    </fill>
    <fill>
      <patternFill patternType="solid">
        <fgColor rgb="FF1F2A44"/>
        <bgColor rgb="FF003366"/>
      </patternFill>
    </fill>
    <fill>
      <patternFill patternType="solid">
        <fgColor rgb="FFB8720A"/>
        <bgColor rgb="FFFF6600"/>
      </patternFill>
    </fill>
    <fill>
      <patternFill patternType="solid">
        <fgColor rgb="FFFDF0DC"/>
        <bgColor rgb="FFFBE4E2"/>
      </patternFill>
    </fill>
    <fill>
      <patternFill patternType="solid">
        <fgColor rgb="FF1E7B45"/>
        <bgColor rgb="FF008080"/>
      </patternFill>
    </fill>
    <fill>
      <patternFill patternType="solid">
        <fgColor rgb="FFE3F3E6"/>
        <bgColor rgb="FFD9EAD3"/>
      </patternFill>
    </fill>
    <fill>
      <patternFill patternType="solid">
        <fgColor rgb="FFB3261E"/>
        <bgColor rgb="FF993366"/>
      </patternFill>
    </fill>
    <fill>
      <patternFill patternType="solid">
        <fgColor rgb="FFFBE4E2"/>
        <bgColor rgb="FFFDF0DC"/>
      </patternFill>
    </fill>
    <fill>
      <patternFill patternType="solid">
        <fgColor rgb="FFDCE6F5"/>
        <bgColor rgb="FFD9EAD3"/>
      </patternFill>
    </fill>
    <fill>
      <patternFill patternType="solid">
        <fgColor rgb="FFB4A7D6"/>
        <bgColor rgb="FF9999FF"/>
      </patternFill>
    </fill>
    <fill>
      <patternFill patternType="solid">
        <fgColor rgb="FFF4B084"/>
        <bgColor rgb="FFEA9999"/>
      </patternFill>
    </fill>
    <fill>
      <patternFill patternType="solid">
        <fgColor rgb="FFF28B82"/>
        <bgColor rgb="FFEA9999"/>
      </patternFill>
    </fill>
    <fill>
      <patternFill patternType="solid">
        <fgColor rgb="FFFFD966"/>
        <bgColor rgb="FFF4B084"/>
      </patternFill>
    </fill>
    <fill>
      <patternFill patternType="solid">
        <fgColor rgb="FFEA9999"/>
        <bgColor rgb="FFF28B82"/>
      </patternFill>
    </fill>
    <fill>
      <patternFill patternType="solid">
        <fgColor rgb="FF9FC5E8"/>
        <bgColor rgb="FFB4A7D6"/>
      </patternFill>
    </fill>
    <fill>
      <patternFill patternType="solid">
        <fgColor rgb="FFD9EAD3"/>
        <bgColor rgb="FFE3F3E6"/>
      </patternFill>
    </fill>
    <fill>
      <patternFill patternType="solid">
        <fgColor rgb="FF2E5AAC"/>
        <bgColor rgb="FF3366FF"/>
      </patternFill>
    </fill>
  </fills>
  <borders count="3">
    <border>
      <left/>
      <right/>
      <top/>
      <bottom/>
      <diagonal/>
    </border>
    <border>
      <left style="thin">
        <color rgb="FFD0D3D8"/>
      </left>
      <right style="thin">
        <color rgb="FFD0D3D8"/>
      </right>
      <top style="thin">
        <color rgb="FFD0D3D8"/>
      </top>
      <bottom style="thin">
        <color rgb="FFD0D3D8"/>
      </bottom>
      <diagonal/>
    </border>
    <border>
      <left/>
      <right/>
      <top/>
      <bottom style="thin">
        <color rgb="FFFFFFFF"/>
      </bottom>
      <diagonal/>
    </border>
  </borders>
  <cellStyleXfs count="1">
    <xf numFmtId="0" fontId="0" fillId="0" borderId="0"/>
  </cellStyleXfs>
  <cellXfs count="80">
    <xf numFmtId="0" fontId="0" fillId="0" borderId="0" xfId="0"/>
    <xf numFmtId="0" fontId="9" fillId="3" borderId="0" xfId="0" applyFont="1" applyFill="1"/>
    <xf numFmtId="0" fontId="3" fillId="6" borderId="1" xfId="0" applyFont="1" applyFill="1" applyBorder="1" applyAlignment="1">
      <alignment vertical="center" wrapText="1"/>
    </xf>
    <xf numFmtId="0" fontId="9" fillId="5" borderId="0" xfId="0" applyFont="1" applyFill="1"/>
    <xf numFmtId="0" fontId="8" fillId="6" borderId="1" xfId="0" applyFont="1" applyFill="1" applyBorder="1" applyAlignment="1">
      <alignment vertical="center" wrapText="1"/>
    </xf>
    <xf numFmtId="0" fontId="4" fillId="5" borderId="1" xfId="0" applyFont="1" applyFill="1" applyBorder="1"/>
    <xf numFmtId="0" fontId="7" fillId="0" borderId="0" xfId="0" applyFont="1"/>
    <xf numFmtId="0" fontId="6" fillId="2" borderId="0" xfId="0" applyFont="1" applyFill="1"/>
    <xf numFmtId="0" fontId="5" fillId="0" borderId="0" xfId="0" applyFont="1" applyAlignment="1">
      <alignment vertical="center" wrapText="1"/>
    </xf>
    <xf numFmtId="0" fontId="4" fillId="2" borderId="0" xfId="0" applyFont="1" applyFill="1"/>
    <xf numFmtId="0" fontId="0" fillId="4" borderId="1" xfId="0" applyFill="1" applyBorder="1" applyAlignment="1">
      <alignment vertical="center" wrapText="1"/>
    </xf>
    <xf numFmtId="0" fontId="4" fillId="3" borderId="0" xfId="0" applyFont="1" applyFill="1"/>
    <xf numFmtId="0" fontId="3" fillId="0" borderId="1" xfId="0" applyFont="1" applyBorder="1" applyAlignment="1">
      <alignment vertical="center" wrapText="1"/>
    </xf>
    <xf numFmtId="0" fontId="2" fillId="0" borderId="1" xfId="0" applyFont="1" applyBorder="1"/>
    <xf numFmtId="0" fontId="1" fillId="2" borderId="0" xfId="0" applyFont="1" applyFill="1"/>
    <xf numFmtId="0" fontId="3" fillId="0" borderId="1" xfId="0" applyFont="1" applyBorder="1" applyAlignment="1">
      <alignment vertical="center" wrapText="1"/>
    </xf>
    <xf numFmtId="0" fontId="15" fillId="2" borderId="2" xfId="0" applyFont="1" applyFill="1" applyBorder="1" applyAlignment="1">
      <alignment horizontal="center" vertical="center" wrapText="1"/>
    </xf>
    <xf numFmtId="0" fontId="3" fillId="0" borderId="1" xfId="0" applyFont="1" applyBorder="1" applyAlignment="1">
      <alignment horizontal="center"/>
    </xf>
    <xf numFmtId="0" fontId="5" fillId="10" borderId="1" xfId="0" applyFont="1" applyFill="1" applyBorder="1" applyAlignment="1">
      <alignment vertical="center" wrapText="1"/>
    </xf>
    <xf numFmtId="0" fontId="5" fillId="0" borderId="1" xfId="0" applyFont="1" applyBorder="1" applyAlignment="1">
      <alignment vertical="center" wrapText="1"/>
    </xf>
    <xf numFmtId="164" fontId="3" fillId="0" borderId="1" xfId="0" applyNumberFormat="1" applyFont="1" applyBorder="1" applyAlignment="1">
      <alignment horizontal="center"/>
    </xf>
    <xf numFmtId="0" fontId="3" fillId="0" borderId="1" xfId="0" applyFont="1" applyBorder="1" applyAlignment="1">
      <alignment horizontal="center" wrapText="1"/>
    </xf>
    <xf numFmtId="0" fontId="5" fillId="11" borderId="1" xfId="0" applyFont="1" applyFill="1" applyBorder="1" applyAlignment="1">
      <alignment vertical="center" wrapText="1"/>
    </xf>
    <xf numFmtId="0" fontId="5" fillId="12" borderId="1" xfId="0" applyFont="1" applyFill="1" applyBorder="1" applyAlignment="1">
      <alignment vertical="center" wrapText="1"/>
    </xf>
    <xf numFmtId="0" fontId="5" fillId="13" borderId="1" xfId="0" applyFont="1" applyFill="1" applyBorder="1" applyAlignment="1">
      <alignment vertical="center" wrapText="1"/>
    </xf>
    <xf numFmtId="0" fontId="5" fillId="14" borderId="1" xfId="0" applyFont="1" applyFill="1" applyBorder="1" applyAlignment="1">
      <alignment vertical="center" wrapText="1"/>
    </xf>
    <xf numFmtId="0" fontId="5" fillId="15" borderId="1" xfId="0" applyFont="1" applyFill="1" applyBorder="1" applyAlignment="1">
      <alignment vertical="center" wrapText="1"/>
    </xf>
    <xf numFmtId="0" fontId="5" fillId="16" borderId="1" xfId="0" applyFont="1" applyFill="1" applyBorder="1" applyAlignment="1">
      <alignment vertical="center" wrapText="1"/>
    </xf>
    <xf numFmtId="0" fontId="3" fillId="4" borderId="1" xfId="0" applyFont="1" applyFill="1" applyBorder="1" applyAlignment="1">
      <alignment horizontal="center"/>
    </xf>
    <xf numFmtId="0" fontId="5" fillId="4" borderId="1" xfId="0" applyFont="1" applyFill="1" applyBorder="1" applyAlignment="1">
      <alignment vertical="center" wrapText="1"/>
    </xf>
    <xf numFmtId="164" fontId="3" fillId="4" borderId="1" xfId="0" applyNumberFormat="1" applyFont="1" applyFill="1" applyBorder="1" applyAlignment="1">
      <alignment horizontal="center"/>
    </xf>
    <xf numFmtId="0" fontId="3" fillId="4" borderId="1" xfId="0" applyFont="1" applyFill="1" applyBorder="1" applyAlignment="1">
      <alignment horizontal="center" wrapText="1"/>
    </xf>
    <xf numFmtId="0" fontId="17" fillId="0" borderId="1" xfId="0" applyFont="1" applyBorder="1"/>
    <xf numFmtId="0" fontId="0" fillId="0" borderId="1" xfId="0" applyBorder="1" applyAlignment="1">
      <alignment wrapText="1"/>
    </xf>
    <xf numFmtId="0" fontId="0" fillId="0" borderId="1" xfId="0" applyBorder="1"/>
    <xf numFmtId="9" fontId="0" fillId="0" borderId="1" xfId="0" applyNumberFormat="1" applyBorder="1" applyAlignment="1">
      <alignment horizontal="center"/>
    </xf>
    <xf numFmtId="0" fontId="9" fillId="2" borderId="2" xfId="0" applyFont="1" applyFill="1" applyBorder="1" applyAlignment="1">
      <alignment horizontal="center" vertical="center" wrapText="1"/>
    </xf>
    <xf numFmtId="165" fontId="16" fillId="0" borderId="1" xfId="0" applyNumberFormat="1" applyFont="1" applyBorder="1" applyAlignment="1">
      <alignment horizontal="center"/>
    </xf>
    <xf numFmtId="0" fontId="19" fillId="0" borderId="1" xfId="0" applyFont="1" applyBorder="1" applyAlignment="1">
      <alignment vertical="center" wrapText="1"/>
    </xf>
    <xf numFmtId="0" fontId="16" fillId="0" borderId="1" xfId="0" applyFont="1" applyBorder="1"/>
    <xf numFmtId="0" fontId="0" fillId="0" borderId="1" xfId="0" applyBorder="1" applyAlignment="1">
      <alignment horizontal="center"/>
    </xf>
    <xf numFmtId="165"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16" fillId="0" borderId="1" xfId="0" applyFont="1" applyBorder="1" applyAlignment="1">
      <alignment horizontal="center"/>
    </xf>
    <xf numFmtId="0" fontId="16" fillId="6" borderId="1" xfId="0" applyFont="1" applyFill="1" applyBorder="1"/>
    <xf numFmtId="0" fontId="0" fillId="6" borderId="1" xfId="0" applyFill="1" applyBorder="1" applyAlignment="1">
      <alignment horizontal="center"/>
    </xf>
    <xf numFmtId="165" fontId="16" fillId="6" borderId="1" xfId="0" applyNumberFormat="1" applyFont="1" applyFill="1" applyBorder="1" applyAlignment="1">
      <alignment horizontal="center"/>
    </xf>
    <xf numFmtId="0" fontId="8" fillId="0" borderId="1" xfId="0" applyFont="1" applyBorder="1"/>
    <xf numFmtId="165" fontId="8" fillId="0" borderId="1" xfId="0" applyNumberFormat="1" applyFont="1" applyBorder="1" applyAlignment="1">
      <alignment horizontal="center"/>
    </xf>
    <xf numFmtId="0" fontId="23" fillId="0" borderId="0" xfId="0" applyFont="1"/>
    <xf numFmtId="165" fontId="0" fillId="0" borderId="1" xfId="0" applyNumberFormat="1" applyBorder="1"/>
    <xf numFmtId="0" fontId="24" fillId="0" borderId="1" xfId="0" applyFont="1" applyBorder="1" applyAlignment="1">
      <alignment horizontal="center"/>
    </xf>
    <xf numFmtId="4" fontId="24" fillId="0" borderId="1" xfId="0" applyNumberFormat="1" applyFont="1" applyBorder="1" applyAlignment="1">
      <alignment horizontal="center"/>
    </xf>
    <xf numFmtId="2" fontId="24" fillId="0" borderId="1" xfId="0" applyNumberFormat="1" applyFont="1" applyBorder="1" applyAlignment="1">
      <alignment horizontal="center"/>
    </xf>
    <xf numFmtId="0" fontId="24" fillId="0" borderId="1" xfId="0" applyFont="1" applyBorder="1"/>
    <xf numFmtId="0" fontId="24" fillId="4" borderId="1" xfId="0" applyFont="1" applyFill="1" applyBorder="1" applyAlignment="1">
      <alignment horizontal="center"/>
    </xf>
    <xf numFmtId="4" fontId="24" fillId="4" borderId="1" xfId="0" applyNumberFormat="1" applyFont="1" applyFill="1" applyBorder="1" applyAlignment="1">
      <alignment horizontal="center"/>
    </xf>
    <xf numFmtId="2" fontId="24" fillId="4" borderId="1" xfId="0" applyNumberFormat="1" applyFont="1" applyFill="1" applyBorder="1" applyAlignment="1">
      <alignment horizontal="center"/>
    </xf>
    <xf numFmtId="0" fontId="24" fillId="4" borderId="1" xfId="0" applyFont="1" applyFill="1" applyBorder="1"/>
    <xf numFmtId="0" fontId="26" fillId="0" borderId="0" xfId="0" applyFont="1" applyAlignment="1">
      <alignment horizontal="center"/>
    </xf>
    <xf numFmtId="2" fontId="24" fillId="0" borderId="0" xfId="0" applyNumberFormat="1" applyFont="1" applyAlignment="1">
      <alignment horizontal="center"/>
    </xf>
    <xf numFmtId="0" fontId="3" fillId="4" borderId="1" xfId="0" applyFont="1" applyFill="1" applyBorder="1" applyAlignment="1">
      <alignment vertical="center" wrapText="1"/>
    </xf>
    <xf numFmtId="0" fontId="9" fillId="7" borderId="0" xfId="0" applyFont="1" applyFill="1"/>
    <xf numFmtId="0" fontId="3" fillId="8" borderId="1" xfId="0" applyFont="1" applyFill="1" applyBorder="1" applyAlignment="1">
      <alignment vertical="center" wrapText="1"/>
    </xf>
    <xf numFmtId="0" fontId="10" fillId="9" borderId="1" xfId="0" applyFont="1" applyFill="1" applyBorder="1" applyAlignment="1">
      <alignment horizontal="center"/>
    </xf>
    <xf numFmtId="0" fontId="11" fillId="9" borderId="1" xfId="0" applyFont="1" applyFill="1" applyBorder="1" applyAlignment="1">
      <alignment horizontal="center" vertical="top" wrapText="1"/>
    </xf>
    <xf numFmtId="0" fontId="12" fillId="0" borderId="1" xfId="0" applyFont="1" applyBorder="1"/>
    <xf numFmtId="0" fontId="5" fillId="0" borderId="1" xfId="0" applyFont="1" applyBorder="1" applyAlignment="1">
      <alignment wrapText="1"/>
    </xf>
    <xf numFmtId="0" fontId="13" fillId="2" borderId="0" xfId="0" applyFont="1" applyFill="1"/>
    <xf numFmtId="0" fontId="14" fillId="0" borderId="0" xfId="0" applyFont="1" applyAlignment="1">
      <alignment wrapText="1"/>
    </xf>
    <xf numFmtId="0" fontId="16" fillId="0" borderId="0" xfId="0" applyFont="1"/>
    <xf numFmtId="0" fontId="18" fillId="0" borderId="1" xfId="0" applyFont="1" applyBorder="1"/>
    <xf numFmtId="0" fontId="0" fillId="0" borderId="1" xfId="0" applyBorder="1" applyAlignment="1">
      <alignment wrapText="1"/>
    </xf>
    <xf numFmtId="0" fontId="20" fillId="4" borderId="1" xfId="0" applyFont="1" applyFill="1" applyBorder="1" applyAlignment="1">
      <alignment vertical="top" wrapText="1"/>
    </xf>
    <xf numFmtId="0" fontId="21" fillId="17" borderId="0" xfId="0" applyFont="1" applyFill="1"/>
    <xf numFmtId="0" fontId="19" fillId="0" borderId="0" xfId="0" applyFont="1" applyAlignment="1">
      <alignment wrapText="1"/>
    </xf>
    <xf numFmtId="0" fontId="22" fillId="0" borderId="0" xfId="0" applyFont="1"/>
    <xf numFmtId="0" fontId="14" fillId="0" borderId="0" xfId="0" applyFont="1"/>
    <xf numFmtId="0" fontId="25" fillId="2" borderId="0" xfId="0" applyFont="1" applyFill="1"/>
  </cellXfs>
  <cellStyles count="1">
    <cellStyle name="Normal" xfId="0" builtinId="0"/>
  </cellStyles>
  <dxfs count="2">
    <dxf>
      <fill>
        <patternFill>
          <bgColor rgb="FFFBE4E2"/>
        </patternFill>
      </fill>
    </dxf>
    <dxf>
      <fill>
        <patternFill>
          <bgColor rgb="FFE3F3E6"/>
        </patternFill>
      </fill>
    </dxf>
  </dxfs>
  <tableStyles count="0" defaultTableStyle="TableStyleMedium2" defaultPivotStyle="PivotStyleLight16"/>
  <colors>
    <indexedColors>
      <rgbColor rgb="FF000000"/>
      <rgbColor rgb="FFFFFFFF"/>
      <rgbColor rgb="FFFF0000"/>
      <rgbColor rgb="FF00FF00"/>
      <rgbColor rgb="FF0000FF"/>
      <rgbColor rgb="FFF9F9F9"/>
      <rgbColor rgb="FFFF00FF"/>
      <rgbColor rgb="FF00FFFF"/>
      <rgbColor rgb="FF800000"/>
      <rgbColor rgb="FF008000"/>
      <rgbColor rgb="FF000080"/>
      <rgbColor rgb="FFB8720A"/>
      <rgbColor rgb="FF800080"/>
      <rgbColor rgb="FF1E7B45"/>
      <rgbColor rgb="FFB4A7D6"/>
      <rgbColor rgb="FF878787"/>
      <rgbColor rgb="FF9999FF"/>
      <rgbColor rgb="FF993366"/>
      <rgbColor rgb="FFFDF0DC"/>
      <rgbColor rgb="FFE3F3E6"/>
      <rgbColor rgb="FF660066"/>
      <rgbColor rgb="FFF28B82"/>
      <rgbColor rgb="FF2E5AAC"/>
      <rgbColor rgb="FFD0D3D8"/>
      <rgbColor rgb="FF000080"/>
      <rgbColor rgb="FFFF00FF"/>
      <rgbColor rgb="FFFFFF00"/>
      <rgbColor rgb="FF00FFFF"/>
      <rgbColor rgb="FF800080"/>
      <rgbColor rgb="FF800000"/>
      <rgbColor rgb="FF008080"/>
      <rgbColor rgb="FF0000FF"/>
      <rgbColor rgb="FF00CCFF"/>
      <rgbColor rgb="FFDCE6F5"/>
      <rgbColor rgb="FFD9EAD3"/>
      <rgbColor rgb="FFFBE4E2"/>
      <rgbColor rgb="FF9FC5E8"/>
      <rgbColor rgb="FFEA9999"/>
      <rgbColor rgb="FFD9D9D9"/>
      <rgbColor rgb="FFFFD966"/>
      <rgbColor rgb="FF3366FF"/>
      <rgbColor rgb="FF33CCCC"/>
      <rgbColor rgb="FF99CC00"/>
      <rgbColor rgb="FFFFCC00"/>
      <rgbColor rgb="FFF4B084"/>
      <rgbColor rgb="FFFF6600"/>
      <rgbColor rgb="FF6B7280"/>
      <rgbColor rgb="FF969696"/>
      <rgbColor rgb="FF003366"/>
      <rgbColor rgb="FF339966"/>
      <rgbColor rgb="FF003300"/>
      <rgbColor rgb="FF333300"/>
      <rgbColor rgb="FFB3261E"/>
      <rgbColor rgb="FF993366"/>
      <rgbColor rgb="FF333399"/>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Average Price Path vs Election Day (rebased to 100), Trading Day -30 to +130</a:t>
            </a:r>
          </a:p>
        </c:rich>
      </c:tx>
      <c:overlay val="0"/>
      <c:spPr>
        <a:noFill/>
        <a:ln w="0">
          <a:noFill/>
        </a:ln>
      </c:spPr>
    </c:title>
    <c:autoTitleDeleted val="0"/>
    <c:plotArea>
      <c:layout/>
      <c:lineChart>
        <c:grouping val="standard"/>
        <c:varyColors val="0"/>
        <c:ser>
          <c:idx val="0"/>
          <c:order val="0"/>
          <c:tx>
            <c:strRef>
              <c:f>'Data - Avg Path'!$B$4</c:f>
              <c:strCache>
                <c:ptCount val="1"/>
                <c:pt idx="0">
                  <c:v>S&amp;P 500 (SPX)</c:v>
                </c:pt>
              </c:strCache>
            </c:strRef>
          </c:tx>
          <c:spPr>
            <a:ln w="21960">
              <a:solidFill>
                <a:srgbClr val="2E5AAC"/>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 - Avg Path'!$A$5:$A$165</c:f>
              <c:numCache>
                <c:formatCode>General</c:formatCode>
                <c:ptCount val="161"/>
                <c:pt idx="0">
                  <c:v>-30</c:v>
                </c:pt>
                <c:pt idx="1">
                  <c:v>-29</c:v>
                </c:pt>
                <c:pt idx="2">
                  <c:v>-28</c:v>
                </c:pt>
                <c:pt idx="3">
                  <c:v>-27</c:v>
                </c:pt>
                <c:pt idx="4">
                  <c:v>-26</c:v>
                </c:pt>
                <c:pt idx="5">
                  <c:v>-25</c:v>
                </c:pt>
                <c:pt idx="6">
                  <c:v>-24</c:v>
                </c:pt>
                <c:pt idx="7">
                  <c:v>-23</c:v>
                </c:pt>
                <c:pt idx="8">
                  <c:v>-22</c:v>
                </c:pt>
                <c:pt idx="9">
                  <c:v>-21</c:v>
                </c:pt>
                <c:pt idx="10">
                  <c:v>-20</c:v>
                </c:pt>
                <c:pt idx="11">
                  <c:v>-19</c:v>
                </c:pt>
                <c:pt idx="12">
                  <c:v>-18</c:v>
                </c:pt>
                <c:pt idx="13">
                  <c:v>-17</c:v>
                </c:pt>
                <c:pt idx="14">
                  <c:v>-16</c:v>
                </c:pt>
                <c:pt idx="15">
                  <c:v>-15</c:v>
                </c:pt>
                <c:pt idx="16">
                  <c:v>-14</c:v>
                </c:pt>
                <c:pt idx="17">
                  <c:v>-13</c:v>
                </c:pt>
                <c:pt idx="18">
                  <c:v>-12</c:v>
                </c:pt>
                <c:pt idx="19">
                  <c:v>-11</c:v>
                </c:pt>
                <c:pt idx="20">
                  <c:v>-10</c:v>
                </c:pt>
                <c:pt idx="21">
                  <c:v>-9</c:v>
                </c:pt>
                <c:pt idx="22">
                  <c:v>-8</c:v>
                </c:pt>
                <c:pt idx="23">
                  <c:v>-7</c:v>
                </c:pt>
                <c:pt idx="24">
                  <c:v>-6</c:v>
                </c:pt>
                <c:pt idx="25">
                  <c:v>-5</c:v>
                </c:pt>
                <c:pt idx="26">
                  <c:v>-4</c:v>
                </c:pt>
                <c:pt idx="27">
                  <c:v>-3</c:v>
                </c:pt>
                <c:pt idx="28">
                  <c:v>-2</c:v>
                </c:pt>
                <c:pt idx="29">
                  <c:v>-1</c:v>
                </c:pt>
                <c:pt idx="30">
                  <c:v>0</c:v>
                </c:pt>
                <c:pt idx="31">
                  <c:v>1</c:v>
                </c:pt>
                <c:pt idx="32">
                  <c:v>2</c:v>
                </c:pt>
                <c:pt idx="33">
                  <c:v>3</c:v>
                </c:pt>
                <c:pt idx="34">
                  <c:v>4</c:v>
                </c:pt>
                <c:pt idx="35">
                  <c:v>5</c:v>
                </c:pt>
                <c:pt idx="36">
                  <c:v>6</c:v>
                </c:pt>
                <c:pt idx="37">
                  <c:v>7</c:v>
                </c:pt>
                <c:pt idx="38">
                  <c:v>8</c:v>
                </c:pt>
                <c:pt idx="39">
                  <c:v>9</c:v>
                </c:pt>
                <c:pt idx="40">
                  <c:v>10</c:v>
                </c:pt>
                <c:pt idx="41">
                  <c:v>11</c:v>
                </c:pt>
                <c:pt idx="42">
                  <c:v>12</c:v>
                </c:pt>
                <c:pt idx="43">
                  <c:v>13</c:v>
                </c:pt>
                <c:pt idx="44">
                  <c:v>14</c:v>
                </c:pt>
                <c:pt idx="45">
                  <c:v>15</c:v>
                </c:pt>
                <c:pt idx="46">
                  <c:v>16</c:v>
                </c:pt>
                <c:pt idx="47">
                  <c:v>17</c:v>
                </c:pt>
                <c:pt idx="48">
                  <c:v>18</c:v>
                </c:pt>
                <c:pt idx="49">
                  <c:v>19</c:v>
                </c:pt>
                <c:pt idx="50">
                  <c:v>20</c:v>
                </c:pt>
                <c:pt idx="51">
                  <c:v>21</c:v>
                </c:pt>
                <c:pt idx="52">
                  <c:v>22</c:v>
                </c:pt>
                <c:pt idx="53">
                  <c:v>23</c:v>
                </c:pt>
                <c:pt idx="54">
                  <c:v>24</c:v>
                </c:pt>
                <c:pt idx="55">
                  <c:v>25</c:v>
                </c:pt>
                <c:pt idx="56">
                  <c:v>26</c:v>
                </c:pt>
                <c:pt idx="57">
                  <c:v>27</c:v>
                </c:pt>
                <c:pt idx="58">
                  <c:v>28</c:v>
                </c:pt>
                <c:pt idx="59">
                  <c:v>29</c:v>
                </c:pt>
                <c:pt idx="60">
                  <c:v>30</c:v>
                </c:pt>
                <c:pt idx="61">
                  <c:v>31</c:v>
                </c:pt>
                <c:pt idx="62">
                  <c:v>32</c:v>
                </c:pt>
                <c:pt idx="63">
                  <c:v>33</c:v>
                </c:pt>
                <c:pt idx="64">
                  <c:v>34</c:v>
                </c:pt>
                <c:pt idx="65">
                  <c:v>35</c:v>
                </c:pt>
                <c:pt idx="66">
                  <c:v>36</c:v>
                </c:pt>
                <c:pt idx="67">
                  <c:v>37</c:v>
                </c:pt>
                <c:pt idx="68">
                  <c:v>38</c:v>
                </c:pt>
                <c:pt idx="69">
                  <c:v>39</c:v>
                </c:pt>
                <c:pt idx="70">
                  <c:v>40</c:v>
                </c:pt>
                <c:pt idx="71">
                  <c:v>41</c:v>
                </c:pt>
                <c:pt idx="72">
                  <c:v>42</c:v>
                </c:pt>
                <c:pt idx="73">
                  <c:v>43</c:v>
                </c:pt>
                <c:pt idx="74">
                  <c:v>44</c:v>
                </c:pt>
                <c:pt idx="75">
                  <c:v>45</c:v>
                </c:pt>
                <c:pt idx="76">
                  <c:v>46</c:v>
                </c:pt>
                <c:pt idx="77">
                  <c:v>47</c:v>
                </c:pt>
                <c:pt idx="78">
                  <c:v>48</c:v>
                </c:pt>
                <c:pt idx="79">
                  <c:v>49</c:v>
                </c:pt>
                <c:pt idx="80">
                  <c:v>50</c:v>
                </c:pt>
                <c:pt idx="81">
                  <c:v>51</c:v>
                </c:pt>
                <c:pt idx="82">
                  <c:v>52</c:v>
                </c:pt>
                <c:pt idx="83">
                  <c:v>53</c:v>
                </c:pt>
                <c:pt idx="84">
                  <c:v>54</c:v>
                </c:pt>
                <c:pt idx="85">
                  <c:v>55</c:v>
                </c:pt>
                <c:pt idx="86">
                  <c:v>56</c:v>
                </c:pt>
                <c:pt idx="87">
                  <c:v>57</c:v>
                </c:pt>
                <c:pt idx="88">
                  <c:v>58</c:v>
                </c:pt>
                <c:pt idx="89">
                  <c:v>59</c:v>
                </c:pt>
                <c:pt idx="90">
                  <c:v>60</c:v>
                </c:pt>
                <c:pt idx="91">
                  <c:v>61</c:v>
                </c:pt>
                <c:pt idx="92">
                  <c:v>62</c:v>
                </c:pt>
                <c:pt idx="93">
                  <c:v>63</c:v>
                </c:pt>
                <c:pt idx="94">
                  <c:v>64</c:v>
                </c:pt>
                <c:pt idx="95">
                  <c:v>65</c:v>
                </c:pt>
                <c:pt idx="96">
                  <c:v>66</c:v>
                </c:pt>
                <c:pt idx="97">
                  <c:v>67</c:v>
                </c:pt>
                <c:pt idx="98">
                  <c:v>68</c:v>
                </c:pt>
                <c:pt idx="99">
                  <c:v>69</c:v>
                </c:pt>
                <c:pt idx="100">
                  <c:v>70</c:v>
                </c:pt>
                <c:pt idx="101">
                  <c:v>71</c:v>
                </c:pt>
                <c:pt idx="102">
                  <c:v>72</c:v>
                </c:pt>
                <c:pt idx="103">
                  <c:v>73</c:v>
                </c:pt>
                <c:pt idx="104">
                  <c:v>74</c:v>
                </c:pt>
                <c:pt idx="105">
                  <c:v>75</c:v>
                </c:pt>
                <c:pt idx="106">
                  <c:v>76</c:v>
                </c:pt>
                <c:pt idx="107">
                  <c:v>77</c:v>
                </c:pt>
                <c:pt idx="108">
                  <c:v>78</c:v>
                </c:pt>
                <c:pt idx="109">
                  <c:v>79</c:v>
                </c:pt>
                <c:pt idx="110">
                  <c:v>80</c:v>
                </c:pt>
                <c:pt idx="111">
                  <c:v>81</c:v>
                </c:pt>
                <c:pt idx="112">
                  <c:v>82</c:v>
                </c:pt>
                <c:pt idx="113">
                  <c:v>83</c:v>
                </c:pt>
                <c:pt idx="114">
                  <c:v>84</c:v>
                </c:pt>
                <c:pt idx="115">
                  <c:v>85</c:v>
                </c:pt>
                <c:pt idx="116">
                  <c:v>86</c:v>
                </c:pt>
                <c:pt idx="117">
                  <c:v>87</c:v>
                </c:pt>
                <c:pt idx="118">
                  <c:v>88</c:v>
                </c:pt>
                <c:pt idx="119">
                  <c:v>89</c:v>
                </c:pt>
                <c:pt idx="120">
                  <c:v>90</c:v>
                </c:pt>
                <c:pt idx="121">
                  <c:v>91</c:v>
                </c:pt>
                <c:pt idx="122">
                  <c:v>92</c:v>
                </c:pt>
                <c:pt idx="123">
                  <c:v>93</c:v>
                </c:pt>
                <c:pt idx="124">
                  <c:v>94</c:v>
                </c:pt>
                <c:pt idx="125">
                  <c:v>95</c:v>
                </c:pt>
                <c:pt idx="126">
                  <c:v>96</c:v>
                </c:pt>
                <c:pt idx="127">
                  <c:v>97</c:v>
                </c:pt>
                <c:pt idx="128">
                  <c:v>98</c:v>
                </c:pt>
                <c:pt idx="129">
                  <c:v>99</c:v>
                </c:pt>
                <c:pt idx="130">
                  <c:v>100</c:v>
                </c:pt>
                <c:pt idx="131">
                  <c:v>101</c:v>
                </c:pt>
                <c:pt idx="132">
                  <c:v>102</c:v>
                </c:pt>
                <c:pt idx="133">
                  <c:v>103</c:v>
                </c:pt>
                <c:pt idx="134">
                  <c:v>104</c:v>
                </c:pt>
                <c:pt idx="135">
                  <c:v>105</c:v>
                </c:pt>
                <c:pt idx="136">
                  <c:v>106</c:v>
                </c:pt>
                <c:pt idx="137">
                  <c:v>107</c:v>
                </c:pt>
                <c:pt idx="138">
                  <c:v>108</c:v>
                </c:pt>
                <c:pt idx="139">
                  <c:v>109</c:v>
                </c:pt>
                <c:pt idx="140">
                  <c:v>110</c:v>
                </c:pt>
                <c:pt idx="141">
                  <c:v>111</c:v>
                </c:pt>
                <c:pt idx="142">
                  <c:v>112</c:v>
                </c:pt>
                <c:pt idx="143">
                  <c:v>113</c:v>
                </c:pt>
                <c:pt idx="144">
                  <c:v>114</c:v>
                </c:pt>
                <c:pt idx="145">
                  <c:v>115</c:v>
                </c:pt>
                <c:pt idx="146">
                  <c:v>116</c:v>
                </c:pt>
                <c:pt idx="147">
                  <c:v>117</c:v>
                </c:pt>
                <c:pt idx="148">
                  <c:v>118</c:v>
                </c:pt>
                <c:pt idx="149">
                  <c:v>119</c:v>
                </c:pt>
                <c:pt idx="150">
                  <c:v>120</c:v>
                </c:pt>
                <c:pt idx="151">
                  <c:v>121</c:v>
                </c:pt>
                <c:pt idx="152">
                  <c:v>122</c:v>
                </c:pt>
                <c:pt idx="153">
                  <c:v>123</c:v>
                </c:pt>
                <c:pt idx="154">
                  <c:v>124</c:v>
                </c:pt>
                <c:pt idx="155">
                  <c:v>125</c:v>
                </c:pt>
                <c:pt idx="156">
                  <c:v>126</c:v>
                </c:pt>
                <c:pt idx="157">
                  <c:v>127</c:v>
                </c:pt>
                <c:pt idx="158">
                  <c:v>128</c:v>
                </c:pt>
                <c:pt idx="159">
                  <c:v>129</c:v>
                </c:pt>
                <c:pt idx="160">
                  <c:v>130</c:v>
                </c:pt>
              </c:numCache>
            </c:numRef>
          </c:cat>
          <c:val>
            <c:numRef>
              <c:f>'Data - Avg Path'!$B$5:$B$165</c:f>
              <c:numCache>
                <c:formatCode>0.00</c:formatCode>
                <c:ptCount val="161"/>
                <c:pt idx="0">
                  <c:v>96.83</c:v>
                </c:pt>
                <c:pt idx="1">
                  <c:v>97.19</c:v>
                </c:pt>
                <c:pt idx="2">
                  <c:v>96.42</c:v>
                </c:pt>
                <c:pt idx="3">
                  <c:v>96.31</c:v>
                </c:pt>
                <c:pt idx="4">
                  <c:v>96.54</c:v>
                </c:pt>
                <c:pt idx="5">
                  <c:v>96.65</c:v>
                </c:pt>
                <c:pt idx="6">
                  <c:v>96.34</c:v>
                </c:pt>
                <c:pt idx="7">
                  <c:v>95.84</c:v>
                </c:pt>
                <c:pt idx="8">
                  <c:v>95.85</c:v>
                </c:pt>
                <c:pt idx="9">
                  <c:v>96.02</c:v>
                </c:pt>
                <c:pt idx="10">
                  <c:v>96.12</c:v>
                </c:pt>
                <c:pt idx="11">
                  <c:v>96.26</c:v>
                </c:pt>
                <c:pt idx="12">
                  <c:v>96.59</c:v>
                </c:pt>
                <c:pt idx="13">
                  <c:v>97.08</c:v>
                </c:pt>
                <c:pt idx="14">
                  <c:v>97.36</c:v>
                </c:pt>
                <c:pt idx="15">
                  <c:v>97.6</c:v>
                </c:pt>
                <c:pt idx="16">
                  <c:v>97.64</c:v>
                </c:pt>
                <c:pt idx="17">
                  <c:v>97.82</c:v>
                </c:pt>
                <c:pt idx="18">
                  <c:v>98.09</c:v>
                </c:pt>
                <c:pt idx="19">
                  <c:v>98.45</c:v>
                </c:pt>
                <c:pt idx="20">
                  <c:v>98.34</c:v>
                </c:pt>
                <c:pt idx="21">
                  <c:v>98.06</c:v>
                </c:pt>
                <c:pt idx="22">
                  <c:v>98.34</c:v>
                </c:pt>
                <c:pt idx="23">
                  <c:v>98.32</c:v>
                </c:pt>
                <c:pt idx="24">
                  <c:v>97.87</c:v>
                </c:pt>
                <c:pt idx="25">
                  <c:v>98.18</c:v>
                </c:pt>
                <c:pt idx="26">
                  <c:v>98.67</c:v>
                </c:pt>
                <c:pt idx="27">
                  <c:v>98.74</c:v>
                </c:pt>
                <c:pt idx="28">
                  <c:v>99.11</c:v>
                </c:pt>
                <c:pt idx="29">
                  <c:v>99.57</c:v>
                </c:pt>
                <c:pt idx="30">
                  <c:v>100</c:v>
                </c:pt>
                <c:pt idx="31">
                  <c:v>100.43</c:v>
                </c:pt>
                <c:pt idx="32">
                  <c:v>100.77</c:v>
                </c:pt>
                <c:pt idx="33">
                  <c:v>100.96</c:v>
                </c:pt>
                <c:pt idx="34">
                  <c:v>100.7</c:v>
                </c:pt>
                <c:pt idx="35">
                  <c:v>100.72</c:v>
                </c:pt>
                <c:pt idx="36">
                  <c:v>100.71</c:v>
                </c:pt>
                <c:pt idx="37">
                  <c:v>100.63</c:v>
                </c:pt>
                <c:pt idx="38">
                  <c:v>100.47</c:v>
                </c:pt>
                <c:pt idx="39">
                  <c:v>99.88</c:v>
                </c:pt>
                <c:pt idx="40">
                  <c:v>99.32</c:v>
                </c:pt>
                <c:pt idx="41">
                  <c:v>99.71</c:v>
                </c:pt>
                <c:pt idx="42">
                  <c:v>100.26</c:v>
                </c:pt>
                <c:pt idx="43">
                  <c:v>100.45</c:v>
                </c:pt>
                <c:pt idx="44">
                  <c:v>100.59</c:v>
                </c:pt>
                <c:pt idx="45">
                  <c:v>100.71</c:v>
                </c:pt>
                <c:pt idx="46">
                  <c:v>101.1</c:v>
                </c:pt>
                <c:pt idx="47">
                  <c:v>101.63</c:v>
                </c:pt>
                <c:pt idx="48">
                  <c:v>101.18</c:v>
                </c:pt>
                <c:pt idx="49">
                  <c:v>101.17</c:v>
                </c:pt>
                <c:pt idx="50">
                  <c:v>101.63</c:v>
                </c:pt>
                <c:pt idx="51">
                  <c:v>101.26</c:v>
                </c:pt>
                <c:pt idx="52">
                  <c:v>101.34</c:v>
                </c:pt>
                <c:pt idx="53">
                  <c:v>101.47</c:v>
                </c:pt>
                <c:pt idx="54">
                  <c:v>101.7</c:v>
                </c:pt>
                <c:pt idx="55">
                  <c:v>101.85</c:v>
                </c:pt>
                <c:pt idx="56">
                  <c:v>101.34</c:v>
                </c:pt>
                <c:pt idx="57">
                  <c:v>100.87</c:v>
                </c:pt>
                <c:pt idx="58">
                  <c:v>100.47</c:v>
                </c:pt>
                <c:pt idx="59">
                  <c:v>100.64</c:v>
                </c:pt>
                <c:pt idx="60">
                  <c:v>100.64</c:v>
                </c:pt>
                <c:pt idx="61">
                  <c:v>100.59</c:v>
                </c:pt>
                <c:pt idx="62">
                  <c:v>100.74</c:v>
                </c:pt>
                <c:pt idx="63">
                  <c:v>101.16</c:v>
                </c:pt>
                <c:pt idx="64">
                  <c:v>101.12</c:v>
                </c:pt>
                <c:pt idx="65">
                  <c:v>101.42</c:v>
                </c:pt>
                <c:pt idx="66">
                  <c:v>101.32</c:v>
                </c:pt>
                <c:pt idx="67">
                  <c:v>101.46</c:v>
                </c:pt>
                <c:pt idx="68">
                  <c:v>101.6</c:v>
                </c:pt>
                <c:pt idx="69">
                  <c:v>102.11</c:v>
                </c:pt>
                <c:pt idx="70">
                  <c:v>102.46</c:v>
                </c:pt>
                <c:pt idx="71">
                  <c:v>102.57</c:v>
                </c:pt>
                <c:pt idx="72">
                  <c:v>102.83</c:v>
                </c:pt>
                <c:pt idx="73">
                  <c:v>103.08</c:v>
                </c:pt>
                <c:pt idx="74">
                  <c:v>103.61</c:v>
                </c:pt>
                <c:pt idx="75">
                  <c:v>104.03</c:v>
                </c:pt>
                <c:pt idx="76">
                  <c:v>103.99</c:v>
                </c:pt>
                <c:pt idx="77">
                  <c:v>103.9</c:v>
                </c:pt>
                <c:pt idx="78">
                  <c:v>103.87</c:v>
                </c:pt>
                <c:pt idx="79">
                  <c:v>104.35</c:v>
                </c:pt>
                <c:pt idx="80">
                  <c:v>104.56</c:v>
                </c:pt>
                <c:pt idx="81">
                  <c:v>104.82</c:v>
                </c:pt>
                <c:pt idx="82">
                  <c:v>104.75</c:v>
                </c:pt>
                <c:pt idx="83">
                  <c:v>104.88</c:v>
                </c:pt>
                <c:pt idx="84">
                  <c:v>104.98</c:v>
                </c:pt>
                <c:pt idx="85">
                  <c:v>105.04</c:v>
                </c:pt>
                <c:pt idx="86">
                  <c:v>105.65</c:v>
                </c:pt>
                <c:pt idx="87">
                  <c:v>105.98</c:v>
                </c:pt>
                <c:pt idx="88">
                  <c:v>106.16</c:v>
                </c:pt>
                <c:pt idx="89">
                  <c:v>106.06</c:v>
                </c:pt>
                <c:pt idx="90">
                  <c:v>106.22</c:v>
                </c:pt>
                <c:pt idx="91">
                  <c:v>106.43</c:v>
                </c:pt>
                <c:pt idx="92">
                  <c:v>106.54</c:v>
                </c:pt>
                <c:pt idx="93">
                  <c:v>106.72</c:v>
                </c:pt>
                <c:pt idx="94">
                  <c:v>106.6</c:v>
                </c:pt>
                <c:pt idx="95">
                  <c:v>106.88</c:v>
                </c:pt>
                <c:pt idx="96">
                  <c:v>107</c:v>
                </c:pt>
                <c:pt idx="97">
                  <c:v>107</c:v>
                </c:pt>
                <c:pt idx="98">
                  <c:v>107.54</c:v>
                </c:pt>
                <c:pt idx="99">
                  <c:v>107.6</c:v>
                </c:pt>
                <c:pt idx="100">
                  <c:v>107.95</c:v>
                </c:pt>
                <c:pt idx="101">
                  <c:v>107.92</c:v>
                </c:pt>
                <c:pt idx="102">
                  <c:v>107.87</c:v>
                </c:pt>
                <c:pt idx="103">
                  <c:v>107.96</c:v>
                </c:pt>
                <c:pt idx="104">
                  <c:v>107.84</c:v>
                </c:pt>
                <c:pt idx="105">
                  <c:v>107.53</c:v>
                </c:pt>
                <c:pt idx="106">
                  <c:v>106.82</c:v>
                </c:pt>
                <c:pt idx="107">
                  <c:v>107.09</c:v>
                </c:pt>
                <c:pt idx="108">
                  <c:v>107.06</c:v>
                </c:pt>
                <c:pt idx="109">
                  <c:v>107.43</c:v>
                </c:pt>
                <c:pt idx="110">
                  <c:v>107.17</c:v>
                </c:pt>
                <c:pt idx="111">
                  <c:v>107.46</c:v>
                </c:pt>
                <c:pt idx="112">
                  <c:v>107.73</c:v>
                </c:pt>
                <c:pt idx="113">
                  <c:v>108.26</c:v>
                </c:pt>
                <c:pt idx="114">
                  <c:v>108.06</c:v>
                </c:pt>
                <c:pt idx="115">
                  <c:v>108.17</c:v>
                </c:pt>
                <c:pt idx="116">
                  <c:v>108.3</c:v>
                </c:pt>
                <c:pt idx="117">
                  <c:v>108.9</c:v>
                </c:pt>
                <c:pt idx="118">
                  <c:v>108.8</c:v>
                </c:pt>
                <c:pt idx="119">
                  <c:v>109.48</c:v>
                </c:pt>
                <c:pt idx="120">
                  <c:v>109.61</c:v>
                </c:pt>
                <c:pt idx="121">
                  <c:v>109.61</c:v>
                </c:pt>
                <c:pt idx="122">
                  <c:v>109.53</c:v>
                </c:pt>
                <c:pt idx="123">
                  <c:v>109.76</c:v>
                </c:pt>
                <c:pt idx="124">
                  <c:v>109.66</c:v>
                </c:pt>
                <c:pt idx="125">
                  <c:v>109.41</c:v>
                </c:pt>
                <c:pt idx="126">
                  <c:v>109.61</c:v>
                </c:pt>
                <c:pt idx="127">
                  <c:v>109.84</c:v>
                </c:pt>
                <c:pt idx="128">
                  <c:v>110.06</c:v>
                </c:pt>
                <c:pt idx="129">
                  <c:v>110.04</c:v>
                </c:pt>
                <c:pt idx="130">
                  <c:v>109.86</c:v>
                </c:pt>
                <c:pt idx="131">
                  <c:v>110.27</c:v>
                </c:pt>
                <c:pt idx="132">
                  <c:v>110.49</c:v>
                </c:pt>
                <c:pt idx="133">
                  <c:v>110.61</c:v>
                </c:pt>
                <c:pt idx="134">
                  <c:v>110.68</c:v>
                </c:pt>
                <c:pt idx="135">
                  <c:v>110.86</c:v>
                </c:pt>
                <c:pt idx="136">
                  <c:v>111.13</c:v>
                </c:pt>
                <c:pt idx="137">
                  <c:v>111.5</c:v>
                </c:pt>
                <c:pt idx="138">
                  <c:v>111.56</c:v>
                </c:pt>
                <c:pt idx="139">
                  <c:v>111.89</c:v>
                </c:pt>
                <c:pt idx="140">
                  <c:v>111.88</c:v>
                </c:pt>
                <c:pt idx="141">
                  <c:v>111.73</c:v>
                </c:pt>
                <c:pt idx="142">
                  <c:v>111.89</c:v>
                </c:pt>
                <c:pt idx="143">
                  <c:v>111.83</c:v>
                </c:pt>
                <c:pt idx="144">
                  <c:v>112.23</c:v>
                </c:pt>
                <c:pt idx="145">
                  <c:v>112.67</c:v>
                </c:pt>
                <c:pt idx="146">
                  <c:v>112.81</c:v>
                </c:pt>
                <c:pt idx="147">
                  <c:v>112.86</c:v>
                </c:pt>
                <c:pt idx="148">
                  <c:v>113.06</c:v>
                </c:pt>
                <c:pt idx="149">
                  <c:v>112.9</c:v>
                </c:pt>
                <c:pt idx="150">
                  <c:v>112.83</c:v>
                </c:pt>
                <c:pt idx="151">
                  <c:v>113.27</c:v>
                </c:pt>
                <c:pt idx="152">
                  <c:v>113.71</c:v>
                </c:pt>
                <c:pt idx="153">
                  <c:v>113.7</c:v>
                </c:pt>
                <c:pt idx="154">
                  <c:v>113.34</c:v>
                </c:pt>
                <c:pt idx="155">
                  <c:v>113.34</c:v>
                </c:pt>
                <c:pt idx="156">
                  <c:v>113.38</c:v>
                </c:pt>
                <c:pt idx="157">
                  <c:v>113.54</c:v>
                </c:pt>
                <c:pt idx="158">
                  <c:v>113.57</c:v>
                </c:pt>
                <c:pt idx="159">
                  <c:v>113.35</c:v>
                </c:pt>
                <c:pt idx="160">
                  <c:v>113.61</c:v>
                </c:pt>
              </c:numCache>
            </c:numRef>
          </c:val>
          <c:smooth val="0"/>
          <c:extLst>
            <c:ext xmlns:c16="http://schemas.microsoft.com/office/drawing/2014/chart" uri="{C3380CC4-5D6E-409C-BE32-E72D297353CC}">
              <c16:uniqueId val="{00000000-617F-4E69-B7B7-49DEBFCF1C22}"/>
            </c:ext>
          </c:extLst>
        </c:ser>
        <c:ser>
          <c:idx val="1"/>
          <c:order val="1"/>
          <c:tx>
            <c:strRef>
              <c:f>'Data - Avg Path'!$C$4</c:f>
              <c:strCache>
                <c:ptCount val="1"/>
                <c:pt idx="0">
                  <c:v>Dow (DJI)</c:v>
                </c:pt>
              </c:strCache>
            </c:strRef>
          </c:tx>
          <c:spPr>
            <a:ln w="21960">
              <a:solidFill>
                <a:srgbClr val="1E7B4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 - Avg Path'!$A$5:$A$165</c:f>
              <c:numCache>
                <c:formatCode>General</c:formatCode>
                <c:ptCount val="161"/>
                <c:pt idx="0">
                  <c:v>-30</c:v>
                </c:pt>
                <c:pt idx="1">
                  <c:v>-29</c:v>
                </c:pt>
                <c:pt idx="2">
                  <c:v>-28</c:v>
                </c:pt>
                <c:pt idx="3">
                  <c:v>-27</c:v>
                </c:pt>
                <c:pt idx="4">
                  <c:v>-26</c:v>
                </c:pt>
                <c:pt idx="5">
                  <c:v>-25</c:v>
                </c:pt>
                <c:pt idx="6">
                  <c:v>-24</c:v>
                </c:pt>
                <c:pt idx="7">
                  <c:v>-23</c:v>
                </c:pt>
                <c:pt idx="8">
                  <c:v>-22</c:v>
                </c:pt>
                <c:pt idx="9">
                  <c:v>-21</c:v>
                </c:pt>
                <c:pt idx="10">
                  <c:v>-20</c:v>
                </c:pt>
                <c:pt idx="11">
                  <c:v>-19</c:v>
                </c:pt>
                <c:pt idx="12">
                  <c:v>-18</c:v>
                </c:pt>
                <c:pt idx="13">
                  <c:v>-17</c:v>
                </c:pt>
                <c:pt idx="14">
                  <c:v>-16</c:v>
                </c:pt>
                <c:pt idx="15">
                  <c:v>-15</c:v>
                </c:pt>
                <c:pt idx="16">
                  <c:v>-14</c:v>
                </c:pt>
                <c:pt idx="17">
                  <c:v>-13</c:v>
                </c:pt>
                <c:pt idx="18">
                  <c:v>-12</c:v>
                </c:pt>
                <c:pt idx="19">
                  <c:v>-11</c:v>
                </c:pt>
                <c:pt idx="20">
                  <c:v>-10</c:v>
                </c:pt>
                <c:pt idx="21">
                  <c:v>-9</c:v>
                </c:pt>
                <c:pt idx="22">
                  <c:v>-8</c:v>
                </c:pt>
                <c:pt idx="23">
                  <c:v>-7</c:v>
                </c:pt>
                <c:pt idx="24">
                  <c:v>-6</c:v>
                </c:pt>
                <c:pt idx="25">
                  <c:v>-5</c:v>
                </c:pt>
                <c:pt idx="26">
                  <c:v>-4</c:v>
                </c:pt>
                <c:pt idx="27">
                  <c:v>-3</c:v>
                </c:pt>
                <c:pt idx="28">
                  <c:v>-2</c:v>
                </c:pt>
                <c:pt idx="29">
                  <c:v>-1</c:v>
                </c:pt>
                <c:pt idx="30">
                  <c:v>0</c:v>
                </c:pt>
                <c:pt idx="31">
                  <c:v>1</c:v>
                </c:pt>
                <c:pt idx="32">
                  <c:v>2</c:v>
                </c:pt>
                <c:pt idx="33">
                  <c:v>3</c:v>
                </c:pt>
                <c:pt idx="34">
                  <c:v>4</c:v>
                </c:pt>
                <c:pt idx="35">
                  <c:v>5</c:v>
                </c:pt>
                <c:pt idx="36">
                  <c:v>6</c:v>
                </c:pt>
                <c:pt idx="37">
                  <c:v>7</c:v>
                </c:pt>
                <c:pt idx="38">
                  <c:v>8</c:v>
                </c:pt>
                <c:pt idx="39">
                  <c:v>9</c:v>
                </c:pt>
                <c:pt idx="40">
                  <c:v>10</c:v>
                </c:pt>
                <c:pt idx="41">
                  <c:v>11</c:v>
                </c:pt>
                <c:pt idx="42">
                  <c:v>12</c:v>
                </c:pt>
                <c:pt idx="43">
                  <c:v>13</c:v>
                </c:pt>
                <c:pt idx="44">
                  <c:v>14</c:v>
                </c:pt>
                <c:pt idx="45">
                  <c:v>15</c:v>
                </c:pt>
                <c:pt idx="46">
                  <c:v>16</c:v>
                </c:pt>
                <c:pt idx="47">
                  <c:v>17</c:v>
                </c:pt>
                <c:pt idx="48">
                  <c:v>18</c:v>
                </c:pt>
                <c:pt idx="49">
                  <c:v>19</c:v>
                </c:pt>
                <c:pt idx="50">
                  <c:v>20</c:v>
                </c:pt>
                <c:pt idx="51">
                  <c:v>21</c:v>
                </c:pt>
                <c:pt idx="52">
                  <c:v>22</c:v>
                </c:pt>
                <c:pt idx="53">
                  <c:v>23</c:v>
                </c:pt>
                <c:pt idx="54">
                  <c:v>24</c:v>
                </c:pt>
                <c:pt idx="55">
                  <c:v>25</c:v>
                </c:pt>
                <c:pt idx="56">
                  <c:v>26</c:v>
                </c:pt>
                <c:pt idx="57">
                  <c:v>27</c:v>
                </c:pt>
                <c:pt idx="58">
                  <c:v>28</c:v>
                </c:pt>
                <c:pt idx="59">
                  <c:v>29</c:v>
                </c:pt>
                <c:pt idx="60">
                  <c:v>30</c:v>
                </c:pt>
                <c:pt idx="61">
                  <c:v>31</c:v>
                </c:pt>
                <c:pt idx="62">
                  <c:v>32</c:v>
                </c:pt>
                <c:pt idx="63">
                  <c:v>33</c:v>
                </c:pt>
                <c:pt idx="64">
                  <c:v>34</c:v>
                </c:pt>
                <c:pt idx="65">
                  <c:v>35</c:v>
                </c:pt>
                <c:pt idx="66">
                  <c:v>36</c:v>
                </c:pt>
                <c:pt idx="67">
                  <c:v>37</c:v>
                </c:pt>
                <c:pt idx="68">
                  <c:v>38</c:v>
                </c:pt>
                <c:pt idx="69">
                  <c:v>39</c:v>
                </c:pt>
                <c:pt idx="70">
                  <c:v>40</c:v>
                </c:pt>
                <c:pt idx="71">
                  <c:v>41</c:v>
                </c:pt>
                <c:pt idx="72">
                  <c:v>42</c:v>
                </c:pt>
                <c:pt idx="73">
                  <c:v>43</c:v>
                </c:pt>
                <c:pt idx="74">
                  <c:v>44</c:v>
                </c:pt>
                <c:pt idx="75">
                  <c:v>45</c:v>
                </c:pt>
                <c:pt idx="76">
                  <c:v>46</c:v>
                </c:pt>
                <c:pt idx="77">
                  <c:v>47</c:v>
                </c:pt>
                <c:pt idx="78">
                  <c:v>48</c:v>
                </c:pt>
                <c:pt idx="79">
                  <c:v>49</c:v>
                </c:pt>
                <c:pt idx="80">
                  <c:v>50</c:v>
                </c:pt>
                <c:pt idx="81">
                  <c:v>51</c:v>
                </c:pt>
                <c:pt idx="82">
                  <c:v>52</c:v>
                </c:pt>
                <c:pt idx="83">
                  <c:v>53</c:v>
                </c:pt>
                <c:pt idx="84">
                  <c:v>54</c:v>
                </c:pt>
                <c:pt idx="85">
                  <c:v>55</c:v>
                </c:pt>
                <c:pt idx="86">
                  <c:v>56</c:v>
                </c:pt>
                <c:pt idx="87">
                  <c:v>57</c:v>
                </c:pt>
                <c:pt idx="88">
                  <c:v>58</c:v>
                </c:pt>
                <c:pt idx="89">
                  <c:v>59</c:v>
                </c:pt>
                <c:pt idx="90">
                  <c:v>60</c:v>
                </c:pt>
                <c:pt idx="91">
                  <c:v>61</c:v>
                </c:pt>
                <c:pt idx="92">
                  <c:v>62</c:v>
                </c:pt>
                <c:pt idx="93">
                  <c:v>63</c:v>
                </c:pt>
                <c:pt idx="94">
                  <c:v>64</c:v>
                </c:pt>
                <c:pt idx="95">
                  <c:v>65</c:v>
                </c:pt>
                <c:pt idx="96">
                  <c:v>66</c:v>
                </c:pt>
                <c:pt idx="97">
                  <c:v>67</c:v>
                </c:pt>
                <c:pt idx="98">
                  <c:v>68</c:v>
                </c:pt>
                <c:pt idx="99">
                  <c:v>69</c:v>
                </c:pt>
                <c:pt idx="100">
                  <c:v>70</c:v>
                </c:pt>
                <c:pt idx="101">
                  <c:v>71</c:v>
                </c:pt>
                <c:pt idx="102">
                  <c:v>72</c:v>
                </c:pt>
                <c:pt idx="103">
                  <c:v>73</c:v>
                </c:pt>
                <c:pt idx="104">
                  <c:v>74</c:v>
                </c:pt>
                <c:pt idx="105">
                  <c:v>75</c:v>
                </c:pt>
                <c:pt idx="106">
                  <c:v>76</c:v>
                </c:pt>
                <c:pt idx="107">
                  <c:v>77</c:v>
                </c:pt>
                <c:pt idx="108">
                  <c:v>78</c:v>
                </c:pt>
                <c:pt idx="109">
                  <c:v>79</c:v>
                </c:pt>
                <c:pt idx="110">
                  <c:v>80</c:v>
                </c:pt>
                <c:pt idx="111">
                  <c:v>81</c:v>
                </c:pt>
                <c:pt idx="112">
                  <c:v>82</c:v>
                </c:pt>
                <c:pt idx="113">
                  <c:v>83</c:v>
                </c:pt>
                <c:pt idx="114">
                  <c:v>84</c:v>
                </c:pt>
                <c:pt idx="115">
                  <c:v>85</c:v>
                </c:pt>
                <c:pt idx="116">
                  <c:v>86</c:v>
                </c:pt>
                <c:pt idx="117">
                  <c:v>87</c:v>
                </c:pt>
                <c:pt idx="118">
                  <c:v>88</c:v>
                </c:pt>
                <c:pt idx="119">
                  <c:v>89</c:v>
                </c:pt>
                <c:pt idx="120">
                  <c:v>90</c:v>
                </c:pt>
                <c:pt idx="121">
                  <c:v>91</c:v>
                </c:pt>
                <c:pt idx="122">
                  <c:v>92</c:v>
                </c:pt>
                <c:pt idx="123">
                  <c:v>93</c:v>
                </c:pt>
                <c:pt idx="124">
                  <c:v>94</c:v>
                </c:pt>
                <c:pt idx="125">
                  <c:v>95</c:v>
                </c:pt>
                <c:pt idx="126">
                  <c:v>96</c:v>
                </c:pt>
                <c:pt idx="127">
                  <c:v>97</c:v>
                </c:pt>
                <c:pt idx="128">
                  <c:v>98</c:v>
                </c:pt>
                <c:pt idx="129">
                  <c:v>99</c:v>
                </c:pt>
                <c:pt idx="130">
                  <c:v>100</c:v>
                </c:pt>
                <c:pt idx="131">
                  <c:v>101</c:v>
                </c:pt>
                <c:pt idx="132">
                  <c:v>102</c:v>
                </c:pt>
                <c:pt idx="133">
                  <c:v>103</c:v>
                </c:pt>
                <c:pt idx="134">
                  <c:v>104</c:v>
                </c:pt>
                <c:pt idx="135">
                  <c:v>105</c:v>
                </c:pt>
                <c:pt idx="136">
                  <c:v>106</c:v>
                </c:pt>
                <c:pt idx="137">
                  <c:v>107</c:v>
                </c:pt>
                <c:pt idx="138">
                  <c:v>108</c:v>
                </c:pt>
                <c:pt idx="139">
                  <c:v>109</c:v>
                </c:pt>
                <c:pt idx="140">
                  <c:v>110</c:v>
                </c:pt>
                <c:pt idx="141">
                  <c:v>111</c:v>
                </c:pt>
                <c:pt idx="142">
                  <c:v>112</c:v>
                </c:pt>
                <c:pt idx="143">
                  <c:v>113</c:v>
                </c:pt>
                <c:pt idx="144">
                  <c:v>114</c:v>
                </c:pt>
                <c:pt idx="145">
                  <c:v>115</c:v>
                </c:pt>
                <c:pt idx="146">
                  <c:v>116</c:v>
                </c:pt>
                <c:pt idx="147">
                  <c:v>117</c:v>
                </c:pt>
                <c:pt idx="148">
                  <c:v>118</c:v>
                </c:pt>
                <c:pt idx="149">
                  <c:v>119</c:v>
                </c:pt>
                <c:pt idx="150">
                  <c:v>120</c:v>
                </c:pt>
                <c:pt idx="151">
                  <c:v>121</c:v>
                </c:pt>
                <c:pt idx="152">
                  <c:v>122</c:v>
                </c:pt>
                <c:pt idx="153">
                  <c:v>123</c:v>
                </c:pt>
                <c:pt idx="154">
                  <c:v>124</c:v>
                </c:pt>
                <c:pt idx="155">
                  <c:v>125</c:v>
                </c:pt>
                <c:pt idx="156">
                  <c:v>126</c:v>
                </c:pt>
                <c:pt idx="157">
                  <c:v>127</c:v>
                </c:pt>
                <c:pt idx="158">
                  <c:v>128</c:v>
                </c:pt>
                <c:pt idx="159">
                  <c:v>129</c:v>
                </c:pt>
                <c:pt idx="160">
                  <c:v>130</c:v>
                </c:pt>
              </c:numCache>
            </c:numRef>
          </c:cat>
          <c:val>
            <c:numRef>
              <c:f>'Data - Avg Path'!$C$5:$C$165</c:f>
              <c:numCache>
                <c:formatCode>0.00</c:formatCode>
                <c:ptCount val="161"/>
                <c:pt idx="0">
                  <c:v>97.63</c:v>
                </c:pt>
                <c:pt idx="1">
                  <c:v>97.48</c:v>
                </c:pt>
                <c:pt idx="2">
                  <c:v>97.32</c:v>
                </c:pt>
                <c:pt idx="3">
                  <c:v>98.76</c:v>
                </c:pt>
                <c:pt idx="4">
                  <c:v>98.62</c:v>
                </c:pt>
                <c:pt idx="5">
                  <c:v>100.22</c:v>
                </c:pt>
                <c:pt idx="6">
                  <c:v>101.2</c:v>
                </c:pt>
                <c:pt idx="7">
                  <c:v>101.54</c:v>
                </c:pt>
                <c:pt idx="8">
                  <c:v>100.54</c:v>
                </c:pt>
                <c:pt idx="9">
                  <c:v>98.29</c:v>
                </c:pt>
                <c:pt idx="10">
                  <c:v>98.28</c:v>
                </c:pt>
                <c:pt idx="11">
                  <c:v>96.84</c:v>
                </c:pt>
                <c:pt idx="12">
                  <c:v>96.47</c:v>
                </c:pt>
                <c:pt idx="13">
                  <c:v>97.89</c:v>
                </c:pt>
                <c:pt idx="14">
                  <c:v>100.04</c:v>
                </c:pt>
                <c:pt idx="15">
                  <c:v>98.83</c:v>
                </c:pt>
                <c:pt idx="16">
                  <c:v>98.86</c:v>
                </c:pt>
                <c:pt idx="17">
                  <c:v>99</c:v>
                </c:pt>
                <c:pt idx="18">
                  <c:v>99.12</c:v>
                </c:pt>
                <c:pt idx="19">
                  <c:v>99.23</c:v>
                </c:pt>
                <c:pt idx="20">
                  <c:v>99.01</c:v>
                </c:pt>
                <c:pt idx="21">
                  <c:v>99.37</c:v>
                </c:pt>
                <c:pt idx="22">
                  <c:v>99.72</c:v>
                </c:pt>
                <c:pt idx="23">
                  <c:v>99.37</c:v>
                </c:pt>
                <c:pt idx="24">
                  <c:v>101.09</c:v>
                </c:pt>
                <c:pt idx="25">
                  <c:v>101.33</c:v>
                </c:pt>
                <c:pt idx="26">
                  <c:v>100.46</c:v>
                </c:pt>
                <c:pt idx="27">
                  <c:v>104</c:v>
                </c:pt>
                <c:pt idx="28">
                  <c:v>100.99</c:v>
                </c:pt>
                <c:pt idx="29">
                  <c:v>101.24</c:v>
                </c:pt>
                <c:pt idx="30">
                  <c:v>100</c:v>
                </c:pt>
                <c:pt idx="31">
                  <c:v>99.54</c:v>
                </c:pt>
                <c:pt idx="32">
                  <c:v>99.88</c:v>
                </c:pt>
                <c:pt idx="33">
                  <c:v>97.76</c:v>
                </c:pt>
                <c:pt idx="34">
                  <c:v>97.65</c:v>
                </c:pt>
                <c:pt idx="35">
                  <c:v>100.75</c:v>
                </c:pt>
                <c:pt idx="36">
                  <c:v>101.21</c:v>
                </c:pt>
                <c:pt idx="37">
                  <c:v>100.31</c:v>
                </c:pt>
                <c:pt idx="38">
                  <c:v>100.65</c:v>
                </c:pt>
                <c:pt idx="39">
                  <c:v>100.69</c:v>
                </c:pt>
                <c:pt idx="40">
                  <c:v>100.73</c:v>
                </c:pt>
                <c:pt idx="41">
                  <c:v>100.58</c:v>
                </c:pt>
                <c:pt idx="42">
                  <c:v>100.14</c:v>
                </c:pt>
                <c:pt idx="43">
                  <c:v>100.49</c:v>
                </c:pt>
                <c:pt idx="44">
                  <c:v>100.88</c:v>
                </c:pt>
                <c:pt idx="45">
                  <c:v>102.97</c:v>
                </c:pt>
                <c:pt idx="46">
                  <c:v>101.82</c:v>
                </c:pt>
                <c:pt idx="47">
                  <c:v>101.45</c:v>
                </c:pt>
                <c:pt idx="48">
                  <c:v>97.03</c:v>
                </c:pt>
                <c:pt idx="49">
                  <c:v>99.25</c:v>
                </c:pt>
                <c:pt idx="50">
                  <c:v>101.55</c:v>
                </c:pt>
                <c:pt idx="51">
                  <c:v>100.32</c:v>
                </c:pt>
                <c:pt idx="52">
                  <c:v>99.49</c:v>
                </c:pt>
                <c:pt idx="53">
                  <c:v>98.91</c:v>
                </c:pt>
                <c:pt idx="54">
                  <c:v>98.34</c:v>
                </c:pt>
                <c:pt idx="55">
                  <c:v>99.52</c:v>
                </c:pt>
                <c:pt idx="56">
                  <c:v>100.48</c:v>
                </c:pt>
                <c:pt idx="57">
                  <c:v>100.78</c:v>
                </c:pt>
                <c:pt idx="58">
                  <c:v>100.5</c:v>
                </c:pt>
                <c:pt idx="59">
                  <c:v>100.69</c:v>
                </c:pt>
                <c:pt idx="60">
                  <c:v>100.66</c:v>
                </c:pt>
                <c:pt idx="61">
                  <c:v>100.97</c:v>
                </c:pt>
                <c:pt idx="62">
                  <c:v>100.82</c:v>
                </c:pt>
                <c:pt idx="63">
                  <c:v>101.07</c:v>
                </c:pt>
                <c:pt idx="64">
                  <c:v>101.26</c:v>
                </c:pt>
                <c:pt idx="65">
                  <c:v>101.13</c:v>
                </c:pt>
                <c:pt idx="66">
                  <c:v>102.39</c:v>
                </c:pt>
                <c:pt idx="67">
                  <c:v>102.04</c:v>
                </c:pt>
                <c:pt idx="68">
                  <c:v>105.07</c:v>
                </c:pt>
                <c:pt idx="69">
                  <c:v>105.98</c:v>
                </c:pt>
                <c:pt idx="70">
                  <c:v>109.37</c:v>
                </c:pt>
                <c:pt idx="71">
                  <c:v>111.28</c:v>
                </c:pt>
                <c:pt idx="72">
                  <c:v>112.44</c:v>
                </c:pt>
                <c:pt idx="73">
                  <c:v>115.55</c:v>
                </c:pt>
                <c:pt idx="74">
                  <c:v>110.78</c:v>
                </c:pt>
                <c:pt idx="75">
                  <c:v>109.12</c:v>
                </c:pt>
                <c:pt idx="76">
                  <c:v>108.25</c:v>
                </c:pt>
                <c:pt idx="77">
                  <c:v>108.99</c:v>
                </c:pt>
                <c:pt idx="78">
                  <c:v>105.38</c:v>
                </c:pt>
                <c:pt idx="79">
                  <c:v>103.94</c:v>
                </c:pt>
                <c:pt idx="80">
                  <c:v>104.03</c:v>
                </c:pt>
                <c:pt idx="81">
                  <c:v>104.49</c:v>
                </c:pt>
                <c:pt idx="82">
                  <c:v>104.67</c:v>
                </c:pt>
                <c:pt idx="83">
                  <c:v>104.4</c:v>
                </c:pt>
                <c:pt idx="84">
                  <c:v>104.19</c:v>
                </c:pt>
                <c:pt idx="85">
                  <c:v>104.47</c:v>
                </c:pt>
                <c:pt idx="86">
                  <c:v>104.84</c:v>
                </c:pt>
                <c:pt idx="87">
                  <c:v>104.64</c:v>
                </c:pt>
                <c:pt idx="88">
                  <c:v>104.49</c:v>
                </c:pt>
                <c:pt idx="89">
                  <c:v>105.3</c:v>
                </c:pt>
                <c:pt idx="90">
                  <c:v>106.86</c:v>
                </c:pt>
                <c:pt idx="91">
                  <c:v>108.41</c:v>
                </c:pt>
                <c:pt idx="92">
                  <c:v>110.87</c:v>
                </c:pt>
                <c:pt idx="93">
                  <c:v>112.97</c:v>
                </c:pt>
                <c:pt idx="94">
                  <c:v>112.87</c:v>
                </c:pt>
                <c:pt idx="95">
                  <c:v>112.66</c:v>
                </c:pt>
                <c:pt idx="96">
                  <c:v>111.64</c:v>
                </c:pt>
                <c:pt idx="97">
                  <c:v>111.39</c:v>
                </c:pt>
                <c:pt idx="98">
                  <c:v>106.69</c:v>
                </c:pt>
                <c:pt idx="99">
                  <c:v>107.61</c:v>
                </c:pt>
                <c:pt idx="100">
                  <c:v>107.19</c:v>
                </c:pt>
                <c:pt idx="101">
                  <c:v>107.31</c:v>
                </c:pt>
                <c:pt idx="102">
                  <c:v>107.59</c:v>
                </c:pt>
                <c:pt idx="103">
                  <c:v>107.28</c:v>
                </c:pt>
                <c:pt idx="104">
                  <c:v>106.8</c:v>
                </c:pt>
                <c:pt idx="105">
                  <c:v>106</c:v>
                </c:pt>
                <c:pt idx="106">
                  <c:v>106.55</c:v>
                </c:pt>
                <c:pt idx="107">
                  <c:v>106.86</c:v>
                </c:pt>
                <c:pt idx="108">
                  <c:v>107.54</c:v>
                </c:pt>
                <c:pt idx="109">
                  <c:v>108.93</c:v>
                </c:pt>
                <c:pt idx="110">
                  <c:v>108.23</c:v>
                </c:pt>
                <c:pt idx="111">
                  <c:v>111.39</c:v>
                </c:pt>
                <c:pt idx="112">
                  <c:v>111.69</c:v>
                </c:pt>
                <c:pt idx="113">
                  <c:v>113.81</c:v>
                </c:pt>
                <c:pt idx="114">
                  <c:v>112.31</c:v>
                </c:pt>
                <c:pt idx="115">
                  <c:v>109.01</c:v>
                </c:pt>
                <c:pt idx="116">
                  <c:v>108.38</c:v>
                </c:pt>
                <c:pt idx="117">
                  <c:v>111.14</c:v>
                </c:pt>
                <c:pt idx="118">
                  <c:v>109.91</c:v>
                </c:pt>
                <c:pt idx="119">
                  <c:v>108.35</c:v>
                </c:pt>
                <c:pt idx="120">
                  <c:v>108.19</c:v>
                </c:pt>
                <c:pt idx="121">
                  <c:v>108.47</c:v>
                </c:pt>
                <c:pt idx="122">
                  <c:v>108.48</c:v>
                </c:pt>
                <c:pt idx="123">
                  <c:v>108.88</c:v>
                </c:pt>
                <c:pt idx="124">
                  <c:v>108.52</c:v>
                </c:pt>
                <c:pt idx="125">
                  <c:v>109.18</c:v>
                </c:pt>
                <c:pt idx="126">
                  <c:v>109.07</c:v>
                </c:pt>
                <c:pt idx="127">
                  <c:v>109.1</c:v>
                </c:pt>
                <c:pt idx="128">
                  <c:v>107.94</c:v>
                </c:pt>
                <c:pt idx="129">
                  <c:v>108.54</c:v>
                </c:pt>
                <c:pt idx="130">
                  <c:v>107.78</c:v>
                </c:pt>
                <c:pt idx="131">
                  <c:v>109.83</c:v>
                </c:pt>
                <c:pt idx="132">
                  <c:v>110.15</c:v>
                </c:pt>
                <c:pt idx="133">
                  <c:v>110.64</c:v>
                </c:pt>
                <c:pt idx="134">
                  <c:v>113.34</c:v>
                </c:pt>
                <c:pt idx="135">
                  <c:v>111.87</c:v>
                </c:pt>
                <c:pt idx="136">
                  <c:v>111.45</c:v>
                </c:pt>
                <c:pt idx="137">
                  <c:v>110.12</c:v>
                </c:pt>
                <c:pt idx="138">
                  <c:v>112.73</c:v>
                </c:pt>
                <c:pt idx="139">
                  <c:v>113.06</c:v>
                </c:pt>
                <c:pt idx="140">
                  <c:v>111.63</c:v>
                </c:pt>
                <c:pt idx="141">
                  <c:v>111.99</c:v>
                </c:pt>
                <c:pt idx="142">
                  <c:v>112.22</c:v>
                </c:pt>
                <c:pt idx="143">
                  <c:v>112.37</c:v>
                </c:pt>
                <c:pt idx="144">
                  <c:v>112.29</c:v>
                </c:pt>
                <c:pt idx="145">
                  <c:v>112.62</c:v>
                </c:pt>
                <c:pt idx="146">
                  <c:v>110.5</c:v>
                </c:pt>
                <c:pt idx="147">
                  <c:v>111.55</c:v>
                </c:pt>
                <c:pt idx="148">
                  <c:v>111.76</c:v>
                </c:pt>
                <c:pt idx="149">
                  <c:v>112.04</c:v>
                </c:pt>
                <c:pt idx="150">
                  <c:v>112.1</c:v>
                </c:pt>
                <c:pt idx="151">
                  <c:v>111.33</c:v>
                </c:pt>
                <c:pt idx="152">
                  <c:v>110.09</c:v>
                </c:pt>
                <c:pt idx="153">
                  <c:v>111.07</c:v>
                </c:pt>
                <c:pt idx="154">
                  <c:v>113.11</c:v>
                </c:pt>
                <c:pt idx="155">
                  <c:v>112.89</c:v>
                </c:pt>
                <c:pt idx="156">
                  <c:v>112.78</c:v>
                </c:pt>
                <c:pt idx="157">
                  <c:v>112.86</c:v>
                </c:pt>
                <c:pt idx="158">
                  <c:v>113.18</c:v>
                </c:pt>
                <c:pt idx="159">
                  <c:v>113.7</c:v>
                </c:pt>
                <c:pt idx="160">
                  <c:v>113.37</c:v>
                </c:pt>
              </c:numCache>
            </c:numRef>
          </c:val>
          <c:smooth val="0"/>
          <c:extLst>
            <c:ext xmlns:c16="http://schemas.microsoft.com/office/drawing/2014/chart" uri="{C3380CC4-5D6E-409C-BE32-E72D297353CC}">
              <c16:uniqueId val="{00000001-617F-4E69-B7B7-49DEBFCF1C22}"/>
            </c:ext>
          </c:extLst>
        </c:ser>
        <c:ser>
          <c:idx val="2"/>
          <c:order val="2"/>
          <c:tx>
            <c:strRef>
              <c:f>'Data - Avg Path'!$D$4</c:f>
              <c:strCache>
                <c:ptCount val="1"/>
                <c:pt idx="0">
                  <c:v>Nasdaq (NDQ)</c:v>
                </c:pt>
              </c:strCache>
            </c:strRef>
          </c:tx>
          <c:spPr>
            <a:ln w="21960">
              <a:solidFill>
                <a:srgbClr val="B8720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 - Avg Path'!$A$5:$A$165</c:f>
              <c:numCache>
                <c:formatCode>General</c:formatCode>
                <c:ptCount val="161"/>
                <c:pt idx="0">
                  <c:v>-30</c:v>
                </c:pt>
                <c:pt idx="1">
                  <c:v>-29</c:v>
                </c:pt>
                <c:pt idx="2">
                  <c:v>-28</c:v>
                </c:pt>
                <c:pt idx="3">
                  <c:v>-27</c:v>
                </c:pt>
                <c:pt idx="4">
                  <c:v>-26</c:v>
                </c:pt>
                <c:pt idx="5">
                  <c:v>-25</c:v>
                </c:pt>
                <c:pt idx="6">
                  <c:v>-24</c:v>
                </c:pt>
                <c:pt idx="7">
                  <c:v>-23</c:v>
                </c:pt>
                <c:pt idx="8">
                  <c:v>-22</c:v>
                </c:pt>
                <c:pt idx="9">
                  <c:v>-21</c:v>
                </c:pt>
                <c:pt idx="10">
                  <c:v>-20</c:v>
                </c:pt>
                <c:pt idx="11">
                  <c:v>-19</c:v>
                </c:pt>
                <c:pt idx="12">
                  <c:v>-18</c:v>
                </c:pt>
                <c:pt idx="13">
                  <c:v>-17</c:v>
                </c:pt>
                <c:pt idx="14">
                  <c:v>-16</c:v>
                </c:pt>
                <c:pt idx="15">
                  <c:v>-15</c:v>
                </c:pt>
                <c:pt idx="16">
                  <c:v>-14</c:v>
                </c:pt>
                <c:pt idx="17">
                  <c:v>-13</c:v>
                </c:pt>
                <c:pt idx="18">
                  <c:v>-12</c:v>
                </c:pt>
                <c:pt idx="19">
                  <c:v>-11</c:v>
                </c:pt>
                <c:pt idx="20">
                  <c:v>-10</c:v>
                </c:pt>
                <c:pt idx="21">
                  <c:v>-9</c:v>
                </c:pt>
                <c:pt idx="22">
                  <c:v>-8</c:v>
                </c:pt>
                <c:pt idx="23">
                  <c:v>-7</c:v>
                </c:pt>
                <c:pt idx="24">
                  <c:v>-6</c:v>
                </c:pt>
                <c:pt idx="25">
                  <c:v>-5</c:v>
                </c:pt>
                <c:pt idx="26">
                  <c:v>-4</c:v>
                </c:pt>
                <c:pt idx="27">
                  <c:v>-3</c:v>
                </c:pt>
                <c:pt idx="28">
                  <c:v>-2</c:v>
                </c:pt>
                <c:pt idx="29">
                  <c:v>-1</c:v>
                </c:pt>
                <c:pt idx="30">
                  <c:v>0</c:v>
                </c:pt>
                <c:pt idx="31">
                  <c:v>1</c:v>
                </c:pt>
                <c:pt idx="32">
                  <c:v>2</c:v>
                </c:pt>
                <c:pt idx="33">
                  <c:v>3</c:v>
                </c:pt>
                <c:pt idx="34">
                  <c:v>4</c:v>
                </c:pt>
                <c:pt idx="35">
                  <c:v>5</c:v>
                </c:pt>
                <c:pt idx="36">
                  <c:v>6</c:v>
                </c:pt>
                <c:pt idx="37">
                  <c:v>7</c:v>
                </c:pt>
                <c:pt idx="38">
                  <c:v>8</c:v>
                </c:pt>
                <c:pt idx="39">
                  <c:v>9</c:v>
                </c:pt>
                <c:pt idx="40">
                  <c:v>10</c:v>
                </c:pt>
                <c:pt idx="41">
                  <c:v>11</c:v>
                </c:pt>
                <c:pt idx="42">
                  <c:v>12</c:v>
                </c:pt>
                <c:pt idx="43">
                  <c:v>13</c:v>
                </c:pt>
                <c:pt idx="44">
                  <c:v>14</c:v>
                </c:pt>
                <c:pt idx="45">
                  <c:v>15</c:v>
                </c:pt>
                <c:pt idx="46">
                  <c:v>16</c:v>
                </c:pt>
                <c:pt idx="47">
                  <c:v>17</c:v>
                </c:pt>
                <c:pt idx="48">
                  <c:v>18</c:v>
                </c:pt>
                <c:pt idx="49">
                  <c:v>19</c:v>
                </c:pt>
                <c:pt idx="50">
                  <c:v>20</c:v>
                </c:pt>
                <c:pt idx="51">
                  <c:v>21</c:v>
                </c:pt>
                <c:pt idx="52">
                  <c:v>22</c:v>
                </c:pt>
                <c:pt idx="53">
                  <c:v>23</c:v>
                </c:pt>
                <c:pt idx="54">
                  <c:v>24</c:v>
                </c:pt>
                <c:pt idx="55">
                  <c:v>25</c:v>
                </c:pt>
                <c:pt idx="56">
                  <c:v>26</c:v>
                </c:pt>
                <c:pt idx="57">
                  <c:v>27</c:v>
                </c:pt>
                <c:pt idx="58">
                  <c:v>28</c:v>
                </c:pt>
                <c:pt idx="59">
                  <c:v>29</c:v>
                </c:pt>
                <c:pt idx="60">
                  <c:v>30</c:v>
                </c:pt>
                <c:pt idx="61">
                  <c:v>31</c:v>
                </c:pt>
                <c:pt idx="62">
                  <c:v>32</c:v>
                </c:pt>
                <c:pt idx="63">
                  <c:v>33</c:v>
                </c:pt>
                <c:pt idx="64">
                  <c:v>34</c:v>
                </c:pt>
                <c:pt idx="65">
                  <c:v>35</c:v>
                </c:pt>
                <c:pt idx="66">
                  <c:v>36</c:v>
                </c:pt>
                <c:pt idx="67">
                  <c:v>37</c:v>
                </c:pt>
                <c:pt idx="68">
                  <c:v>38</c:v>
                </c:pt>
                <c:pt idx="69">
                  <c:v>39</c:v>
                </c:pt>
                <c:pt idx="70">
                  <c:v>40</c:v>
                </c:pt>
                <c:pt idx="71">
                  <c:v>41</c:v>
                </c:pt>
                <c:pt idx="72">
                  <c:v>42</c:v>
                </c:pt>
                <c:pt idx="73">
                  <c:v>43</c:v>
                </c:pt>
                <c:pt idx="74">
                  <c:v>44</c:v>
                </c:pt>
                <c:pt idx="75">
                  <c:v>45</c:v>
                </c:pt>
                <c:pt idx="76">
                  <c:v>46</c:v>
                </c:pt>
                <c:pt idx="77">
                  <c:v>47</c:v>
                </c:pt>
                <c:pt idx="78">
                  <c:v>48</c:v>
                </c:pt>
                <c:pt idx="79">
                  <c:v>49</c:v>
                </c:pt>
                <c:pt idx="80">
                  <c:v>50</c:v>
                </c:pt>
                <c:pt idx="81">
                  <c:v>51</c:v>
                </c:pt>
                <c:pt idx="82">
                  <c:v>52</c:v>
                </c:pt>
                <c:pt idx="83">
                  <c:v>53</c:v>
                </c:pt>
                <c:pt idx="84">
                  <c:v>54</c:v>
                </c:pt>
                <c:pt idx="85">
                  <c:v>55</c:v>
                </c:pt>
                <c:pt idx="86">
                  <c:v>56</c:v>
                </c:pt>
                <c:pt idx="87">
                  <c:v>57</c:v>
                </c:pt>
                <c:pt idx="88">
                  <c:v>58</c:v>
                </c:pt>
                <c:pt idx="89">
                  <c:v>59</c:v>
                </c:pt>
                <c:pt idx="90">
                  <c:v>60</c:v>
                </c:pt>
                <c:pt idx="91">
                  <c:v>61</c:v>
                </c:pt>
                <c:pt idx="92">
                  <c:v>62</c:v>
                </c:pt>
                <c:pt idx="93">
                  <c:v>63</c:v>
                </c:pt>
                <c:pt idx="94">
                  <c:v>64</c:v>
                </c:pt>
                <c:pt idx="95">
                  <c:v>65</c:v>
                </c:pt>
                <c:pt idx="96">
                  <c:v>66</c:v>
                </c:pt>
                <c:pt idx="97">
                  <c:v>67</c:v>
                </c:pt>
                <c:pt idx="98">
                  <c:v>68</c:v>
                </c:pt>
                <c:pt idx="99">
                  <c:v>69</c:v>
                </c:pt>
                <c:pt idx="100">
                  <c:v>70</c:v>
                </c:pt>
                <c:pt idx="101">
                  <c:v>71</c:v>
                </c:pt>
                <c:pt idx="102">
                  <c:v>72</c:v>
                </c:pt>
                <c:pt idx="103">
                  <c:v>73</c:v>
                </c:pt>
                <c:pt idx="104">
                  <c:v>74</c:v>
                </c:pt>
                <c:pt idx="105">
                  <c:v>75</c:v>
                </c:pt>
                <c:pt idx="106">
                  <c:v>76</c:v>
                </c:pt>
                <c:pt idx="107">
                  <c:v>77</c:v>
                </c:pt>
                <c:pt idx="108">
                  <c:v>78</c:v>
                </c:pt>
                <c:pt idx="109">
                  <c:v>79</c:v>
                </c:pt>
                <c:pt idx="110">
                  <c:v>80</c:v>
                </c:pt>
                <c:pt idx="111">
                  <c:v>81</c:v>
                </c:pt>
                <c:pt idx="112">
                  <c:v>82</c:v>
                </c:pt>
                <c:pt idx="113">
                  <c:v>83</c:v>
                </c:pt>
                <c:pt idx="114">
                  <c:v>84</c:v>
                </c:pt>
                <c:pt idx="115">
                  <c:v>85</c:v>
                </c:pt>
                <c:pt idx="116">
                  <c:v>86</c:v>
                </c:pt>
                <c:pt idx="117">
                  <c:v>87</c:v>
                </c:pt>
                <c:pt idx="118">
                  <c:v>88</c:v>
                </c:pt>
                <c:pt idx="119">
                  <c:v>89</c:v>
                </c:pt>
                <c:pt idx="120">
                  <c:v>90</c:v>
                </c:pt>
                <c:pt idx="121">
                  <c:v>91</c:v>
                </c:pt>
                <c:pt idx="122">
                  <c:v>92</c:v>
                </c:pt>
                <c:pt idx="123">
                  <c:v>93</c:v>
                </c:pt>
                <c:pt idx="124">
                  <c:v>94</c:v>
                </c:pt>
                <c:pt idx="125">
                  <c:v>95</c:v>
                </c:pt>
                <c:pt idx="126">
                  <c:v>96</c:v>
                </c:pt>
                <c:pt idx="127">
                  <c:v>97</c:v>
                </c:pt>
                <c:pt idx="128">
                  <c:v>98</c:v>
                </c:pt>
                <c:pt idx="129">
                  <c:v>99</c:v>
                </c:pt>
                <c:pt idx="130">
                  <c:v>100</c:v>
                </c:pt>
                <c:pt idx="131">
                  <c:v>101</c:v>
                </c:pt>
                <c:pt idx="132">
                  <c:v>102</c:v>
                </c:pt>
                <c:pt idx="133">
                  <c:v>103</c:v>
                </c:pt>
                <c:pt idx="134">
                  <c:v>104</c:v>
                </c:pt>
                <c:pt idx="135">
                  <c:v>105</c:v>
                </c:pt>
                <c:pt idx="136">
                  <c:v>106</c:v>
                </c:pt>
                <c:pt idx="137">
                  <c:v>107</c:v>
                </c:pt>
                <c:pt idx="138">
                  <c:v>108</c:v>
                </c:pt>
                <c:pt idx="139">
                  <c:v>109</c:v>
                </c:pt>
                <c:pt idx="140">
                  <c:v>110</c:v>
                </c:pt>
                <c:pt idx="141">
                  <c:v>111</c:v>
                </c:pt>
                <c:pt idx="142">
                  <c:v>112</c:v>
                </c:pt>
                <c:pt idx="143">
                  <c:v>113</c:v>
                </c:pt>
                <c:pt idx="144">
                  <c:v>114</c:v>
                </c:pt>
                <c:pt idx="145">
                  <c:v>115</c:v>
                </c:pt>
                <c:pt idx="146">
                  <c:v>116</c:v>
                </c:pt>
                <c:pt idx="147">
                  <c:v>117</c:v>
                </c:pt>
                <c:pt idx="148">
                  <c:v>118</c:v>
                </c:pt>
                <c:pt idx="149">
                  <c:v>119</c:v>
                </c:pt>
                <c:pt idx="150">
                  <c:v>120</c:v>
                </c:pt>
                <c:pt idx="151">
                  <c:v>121</c:v>
                </c:pt>
                <c:pt idx="152">
                  <c:v>122</c:v>
                </c:pt>
                <c:pt idx="153">
                  <c:v>123</c:v>
                </c:pt>
                <c:pt idx="154">
                  <c:v>124</c:v>
                </c:pt>
                <c:pt idx="155">
                  <c:v>125</c:v>
                </c:pt>
                <c:pt idx="156">
                  <c:v>126</c:v>
                </c:pt>
                <c:pt idx="157">
                  <c:v>127</c:v>
                </c:pt>
                <c:pt idx="158">
                  <c:v>128</c:v>
                </c:pt>
                <c:pt idx="159">
                  <c:v>129</c:v>
                </c:pt>
                <c:pt idx="160">
                  <c:v>130</c:v>
                </c:pt>
              </c:numCache>
            </c:numRef>
          </c:cat>
          <c:val>
            <c:numRef>
              <c:f>'Data - Avg Path'!$D$5:$D$165</c:f>
              <c:numCache>
                <c:formatCode>0.00</c:formatCode>
                <c:ptCount val="161"/>
                <c:pt idx="0">
                  <c:v>96.5</c:v>
                </c:pt>
                <c:pt idx="1">
                  <c:v>96.7</c:v>
                </c:pt>
                <c:pt idx="2">
                  <c:v>96.45</c:v>
                </c:pt>
                <c:pt idx="3">
                  <c:v>98.31</c:v>
                </c:pt>
                <c:pt idx="4">
                  <c:v>97.86</c:v>
                </c:pt>
                <c:pt idx="5">
                  <c:v>102.7</c:v>
                </c:pt>
                <c:pt idx="6">
                  <c:v>100.41</c:v>
                </c:pt>
                <c:pt idx="7">
                  <c:v>99.65</c:v>
                </c:pt>
                <c:pt idx="8">
                  <c:v>100.23</c:v>
                </c:pt>
                <c:pt idx="9">
                  <c:v>98.75</c:v>
                </c:pt>
                <c:pt idx="10">
                  <c:v>97.48</c:v>
                </c:pt>
                <c:pt idx="11">
                  <c:v>94.91</c:v>
                </c:pt>
                <c:pt idx="12">
                  <c:v>94.11</c:v>
                </c:pt>
                <c:pt idx="13">
                  <c:v>94.07</c:v>
                </c:pt>
                <c:pt idx="14">
                  <c:v>99.54</c:v>
                </c:pt>
                <c:pt idx="15">
                  <c:v>98.02</c:v>
                </c:pt>
                <c:pt idx="16">
                  <c:v>96.45</c:v>
                </c:pt>
                <c:pt idx="17">
                  <c:v>96.64</c:v>
                </c:pt>
                <c:pt idx="18">
                  <c:v>97.31</c:v>
                </c:pt>
                <c:pt idx="19">
                  <c:v>97.5</c:v>
                </c:pt>
                <c:pt idx="20">
                  <c:v>97.19</c:v>
                </c:pt>
                <c:pt idx="21">
                  <c:v>96.91</c:v>
                </c:pt>
                <c:pt idx="22">
                  <c:v>97.96</c:v>
                </c:pt>
                <c:pt idx="23">
                  <c:v>97.55</c:v>
                </c:pt>
                <c:pt idx="24">
                  <c:v>99.79</c:v>
                </c:pt>
                <c:pt idx="25">
                  <c:v>98.89</c:v>
                </c:pt>
                <c:pt idx="26">
                  <c:v>98.8</c:v>
                </c:pt>
                <c:pt idx="27">
                  <c:v>104.9</c:v>
                </c:pt>
                <c:pt idx="28">
                  <c:v>101.85</c:v>
                </c:pt>
                <c:pt idx="29">
                  <c:v>101.05</c:v>
                </c:pt>
                <c:pt idx="30">
                  <c:v>100</c:v>
                </c:pt>
                <c:pt idx="31">
                  <c:v>100.69</c:v>
                </c:pt>
                <c:pt idx="32">
                  <c:v>99.57</c:v>
                </c:pt>
                <c:pt idx="33">
                  <c:v>96.2</c:v>
                </c:pt>
                <c:pt idx="34">
                  <c:v>94.61</c:v>
                </c:pt>
                <c:pt idx="35">
                  <c:v>97.52</c:v>
                </c:pt>
                <c:pt idx="36">
                  <c:v>99.13</c:v>
                </c:pt>
                <c:pt idx="37">
                  <c:v>98.49</c:v>
                </c:pt>
                <c:pt idx="38">
                  <c:v>99.51</c:v>
                </c:pt>
                <c:pt idx="39">
                  <c:v>99.36</c:v>
                </c:pt>
                <c:pt idx="40">
                  <c:v>99.47</c:v>
                </c:pt>
                <c:pt idx="41">
                  <c:v>99.61</c:v>
                </c:pt>
                <c:pt idx="42">
                  <c:v>98.26</c:v>
                </c:pt>
                <c:pt idx="43">
                  <c:v>98.86</c:v>
                </c:pt>
                <c:pt idx="44">
                  <c:v>99.37</c:v>
                </c:pt>
                <c:pt idx="45">
                  <c:v>102.4</c:v>
                </c:pt>
                <c:pt idx="46">
                  <c:v>100.86</c:v>
                </c:pt>
                <c:pt idx="47">
                  <c:v>99.62</c:v>
                </c:pt>
                <c:pt idx="48">
                  <c:v>93.3</c:v>
                </c:pt>
                <c:pt idx="49">
                  <c:v>99.71</c:v>
                </c:pt>
                <c:pt idx="50">
                  <c:v>101.76</c:v>
                </c:pt>
                <c:pt idx="51">
                  <c:v>100.06</c:v>
                </c:pt>
                <c:pt idx="52">
                  <c:v>98.15</c:v>
                </c:pt>
                <c:pt idx="53">
                  <c:v>97.81</c:v>
                </c:pt>
                <c:pt idx="54">
                  <c:v>94.23</c:v>
                </c:pt>
                <c:pt idx="55">
                  <c:v>96.25</c:v>
                </c:pt>
                <c:pt idx="56">
                  <c:v>98.05</c:v>
                </c:pt>
                <c:pt idx="57">
                  <c:v>98.95</c:v>
                </c:pt>
                <c:pt idx="58">
                  <c:v>98.78</c:v>
                </c:pt>
                <c:pt idx="59">
                  <c:v>98.74</c:v>
                </c:pt>
                <c:pt idx="60">
                  <c:v>98.72</c:v>
                </c:pt>
                <c:pt idx="61">
                  <c:v>99.15</c:v>
                </c:pt>
                <c:pt idx="62">
                  <c:v>98.69</c:v>
                </c:pt>
                <c:pt idx="63">
                  <c:v>98.81</c:v>
                </c:pt>
                <c:pt idx="64">
                  <c:v>99.23</c:v>
                </c:pt>
                <c:pt idx="65">
                  <c:v>99.21</c:v>
                </c:pt>
                <c:pt idx="66">
                  <c:v>100.38</c:v>
                </c:pt>
                <c:pt idx="67">
                  <c:v>100.22</c:v>
                </c:pt>
                <c:pt idx="68">
                  <c:v>104.02</c:v>
                </c:pt>
                <c:pt idx="69">
                  <c:v>107.24</c:v>
                </c:pt>
                <c:pt idx="70">
                  <c:v>111.27</c:v>
                </c:pt>
                <c:pt idx="71">
                  <c:v>115.67</c:v>
                </c:pt>
                <c:pt idx="72">
                  <c:v>116.75</c:v>
                </c:pt>
                <c:pt idx="73">
                  <c:v>122.14</c:v>
                </c:pt>
                <c:pt idx="74">
                  <c:v>116.12</c:v>
                </c:pt>
                <c:pt idx="75">
                  <c:v>114.12</c:v>
                </c:pt>
                <c:pt idx="76">
                  <c:v>112.2</c:v>
                </c:pt>
                <c:pt idx="77">
                  <c:v>112.82</c:v>
                </c:pt>
                <c:pt idx="78">
                  <c:v>104.73</c:v>
                </c:pt>
                <c:pt idx="79">
                  <c:v>102.98</c:v>
                </c:pt>
                <c:pt idx="80">
                  <c:v>103.67</c:v>
                </c:pt>
                <c:pt idx="81">
                  <c:v>104.53</c:v>
                </c:pt>
                <c:pt idx="82">
                  <c:v>104.71</c:v>
                </c:pt>
                <c:pt idx="83">
                  <c:v>104.37</c:v>
                </c:pt>
                <c:pt idx="84">
                  <c:v>103.85</c:v>
                </c:pt>
                <c:pt idx="85">
                  <c:v>104.06</c:v>
                </c:pt>
                <c:pt idx="86">
                  <c:v>105.06</c:v>
                </c:pt>
                <c:pt idx="87">
                  <c:v>104.73</c:v>
                </c:pt>
                <c:pt idx="88">
                  <c:v>105</c:v>
                </c:pt>
                <c:pt idx="89">
                  <c:v>106.66</c:v>
                </c:pt>
                <c:pt idx="90">
                  <c:v>108.69</c:v>
                </c:pt>
                <c:pt idx="91">
                  <c:v>110.55</c:v>
                </c:pt>
                <c:pt idx="92">
                  <c:v>113.79</c:v>
                </c:pt>
                <c:pt idx="93">
                  <c:v>118.42</c:v>
                </c:pt>
                <c:pt idx="94">
                  <c:v>117.62</c:v>
                </c:pt>
                <c:pt idx="95">
                  <c:v>118.05</c:v>
                </c:pt>
                <c:pt idx="96">
                  <c:v>118.39</c:v>
                </c:pt>
                <c:pt idx="97">
                  <c:v>118.29</c:v>
                </c:pt>
                <c:pt idx="98">
                  <c:v>107.15</c:v>
                </c:pt>
                <c:pt idx="99">
                  <c:v>108.24</c:v>
                </c:pt>
                <c:pt idx="100">
                  <c:v>108.26</c:v>
                </c:pt>
                <c:pt idx="101">
                  <c:v>108.37</c:v>
                </c:pt>
                <c:pt idx="102">
                  <c:v>108.83</c:v>
                </c:pt>
                <c:pt idx="103">
                  <c:v>108.88</c:v>
                </c:pt>
                <c:pt idx="104">
                  <c:v>107.77</c:v>
                </c:pt>
                <c:pt idx="105">
                  <c:v>107.87</c:v>
                </c:pt>
                <c:pt idx="106">
                  <c:v>107.65</c:v>
                </c:pt>
                <c:pt idx="107">
                  <c:v>109.43</c:v>
                </c:pt>
                <c:pt idx="108">
                  <c:v>108.61</c:v>
                </c:pt>
                <c:pt idx="109">
                  <c:v>110.42</c:v>
                </c:pt>
                <c:pt idx="110">
                  <c:v>110.13</c:v>
                </c:pt>
                <c:pt idx="111">
                  <c:v>115.85</c:v>
                </c:pt>
                <c:pt idx="112">
                  <c:v>116.85</c:v>
                </c:pt>
                <c:pt idx="113">
                  <c:v>121.35</c:v>
                </c:pt>
                <c:pt idx="114">
                  <c:v>120.86</c:v>
                </c:pt>
                <c:pt idx="115">
                  <c:v>112.59</c:v>
                </c:pt>
                <c:pt idx="116">
                  <c:v>111.32</c:v>
                </c:pt>
                <c:pt idx="117">
                  <c:v>114.32</c:v>
                </c:pt>
                <c:pt idx="118">
                  <c:v>113</c:v>
                </c:pt>
                <c:pt idx="119">
                  <c:v>110.34</c:v>
                </c:pt>
                <c:pt idx="120">
                  <c:v>110.1</c:v>
                </c:pt>
                <c:pt idx="121">
                  <c:v>110.18</c:v>
                </c:pt>
                <c:pt idx="122">
                  <c:v>110.55</c:v>
                </c:pt>
                <c:pt idx="123">
                  <c:v>110.94</c:v>
                </c:pt>
                <c:pt idx="124">
                  <c:v>110.58</c:v>
                </c:pt>
                <c:pt idx="125">
                  <c:v>111.37</c:v>
                </c:pt>
                <c:pt idx="126">
                  <c:v>111.39</c:v>
                </c:pt>
                <c:pt idx="127">
                  <c:v>111.67</c:v>
                </c:pt>
                <c:pt idx="128">
                  <c:v>109.06</c:v>
                </c:pt>
                <c:pt idx="129">
                  <c:v>110.61</c:v>
                </c:pt>
                <c:pt idx="130">
                  <c:v>108.35</c:v>
                </c:pt>
                <c:pt idx="131">
                  <c:v>112.36</c:v>
                </c:pt>
                <c:pt idx="132">
                  <c:v>112.65</c:v>
                </c:pt>
                <c:pt idx="133">
                  <c:v>115.56</c:v>
                </c:pt>
                <c:pt idx="134">
                  <c:v>118.69</c:v>
                </c:pt>
                <c:pt idx="135">
                  <c:v>118.86</c:v>
                </c:pt>
                <c:pt idx="136">
                  <c:v>114.47</c:v>
                </c:pt>
                <c:pt idx="137">
                  <c:v>114.1</c:v>
                </c:pt>
                <c:pt idx="138">
                  <c:v>116.42</c:v>
                </c:pt>
                <c:pt idx="139">
                  <c:v>115.24</c:v>
                </c:pt>
                <c:pt idx="140">
                  <c:v>112.54</c:v>
                </c:pt>
                <c:pt idx="141">
                  <c:v>113.32</c:v>
                </c:pt>
                <c:pt idx="142">
                  <c:v>113.76</c:v>
                </c:pt>
                <c:pt idx="143">
                  <c:v>114.28</c:v>
                </c:pt>
                <c:pt idx="144">
                  <c:v>114.73</c:v>
                </c:pt>
                <c:pt idx="145">
                  <c:v>115.41</c:v>
                </c:pt>
                <c:pt idx="146">
                  <c:v>112.72</c:v>
                </c:pt>
                <c:pt idx="147">
                  <c:v>113.59</c:v>
                </c:pt>
                <c:pt idx="148">
                  <c:v>113.51</c:v>
                </c:pt>
                <c:pt idx="149">
                  <c:v>115.03</c:v>
                </c:pt>
                <c:pt idx="150">
                  <c:v>114.58</c:v>
                </c:pt>
                <c:pt idx="151">
                  <c:v>114.92</c:v>
                </c:pt>
                <c:pt idx="152">
                  <c:v>114.63</c:v>
                </c:pt>
                <c:pt idx="153">
                  <c:v>116.39</c:v>
                </c:pt>
                <c:pt idx="154">
                  <c:v>117.4</c:v>
                </c:pt>
                <c:pt idx="155">
                  <c:v>117.3</c:v>
                </c:pt>
                <c:pt idx="156">
                  <c:v>118.78</c:v>
                </c:pt>
                <c:pt idx="157">
                  <c:v>120.2</c:v>
                </c:pt>
                <c:pt idx="158">
                  <c:v>116.48</c:v>
                </c:pt>
                <c:pt idx="159">
                  <c:v>117.2</c:v>
                </c:pt>
                <c:pt idx="160">
                  <c:v>116.53</c:v>
                </c:pt>
              </c:numCache>
            </c:numRef>
          </c:val>
          <c:smooth val="0"/>
          <c:extLst>
            <c:ext xmlns:c16="http://schemas.microsoft.com/office/drawing/2014/chart" uri="{C3380CC4-5D6E-409C-BE32-E72D297353CC}">
              <c16:uniqueId val="{00000002-617F-4E69-B7B7-49DEBFCF1C22}"/>
            </c:ext>
          </c:extLst>
        </c:ser>
        <c:dLbls>
          <c:showLegendKey val="0"/>
          <c:showVal val="0"/>
          <c:showCatName val="0"/>
          <c:showSerName val="0"/>
          <c:showPercent val="0"/>
          <c:showBubbleSize val="0"/>
        </c:dLbls>
        <c:hiLowLines>
          <c:spPr>
            <a:ln w="0">
              <a:noFill/>
            </a:ln>
          </c:spPr>
        </c:hiLowLines>
        <c:smooth val="0"/>
        <c:axId val="46980377"/>
        <c:axId val="17105065"/>
      </c:lineChart>
      <c:catAx>
        <c:axId val="4698037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Trading days vs election (0 = election 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105065"/>
        <c:crosses val="autoZero"/>
        <c:auto val="1"/>
        <c:lblAlgn val="ctr"/>
        <c:lblOffset val="100"/>
        <c:noMultiLvlLbl val="0"/>
      </c:catAx>
      <c:valAx>
        <c:axId val="1710506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Index level (election close =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9803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Shape of the Post-Election Move, by Index</a:t>
            </a:r>
          </a:p>
        </c:rich>
      </c:tx>
      <c:overlay val="0"/>
      <c:spPr>
        <a:noFill/>
        <a:ln w="0">
          <a:noFill/>
        </a:ln>
      </c:spPr>
    </c:title>
    <c:autoTitleDeleted val="0"/>
    <c:plotArea>
      <c:layout/>
      <c:barChart>
        <c:barDir val="bar"/>
        <c:grouping val="clustered"/>
        <c:varyColors val="0"/>
        <c:ser>
          <c:idx val="0"/>
          <c:order val="0"/>
          <c:tx>
            <c:strRef>
              <c:f>'The N-Pattern Visualized'!$B$40</c:f>
              <c:strCache>
                <c:ptCount val="1"/>
                <c:pt idx="0">
                  <c:v>SPX</c:v>
                </c:pt>
              </c:strCache>
            </c:strRef>
          </c:tx>
          <c:spPr>
            <a:solidFill>
              <a:srgbClr val="2E5AAC"/>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'The N-Pattern Visualized'!$A$41:$A$44</c:f>
              <c:strCache>
                <c:ptCount val="4"/>
                <c:pt idx="0">
                  <c:v>Higher low (no real retest)</c:v>
                </c:pt>
                <c:pt idx="1">
                  <c:v>N (retest ~ old low)</c:v>
                </c:pt>
                <c:pt idx="2">
                  <c:v>N (retest makes lower low)</c:v>
                </c:pt>
                <c:pt idx="3">
                  <c:v>No pre-election rally</c:v>
                </c:pt>
              </c:strCache>
            </c:strRef>
          </c:cat>
          <c:val>
            <c:numRef>
              <c:f>'The N-Pattern Visualized'!$B$41:$B$44</c:f>
              <c:numCache>
                <c:formatCode>0%</c:formatCode>
                <c:ptCount val="4"/>
                <c:pt idx="0">
                  <c:v>0.5625</c:v>
                </c:pt>
                <c:pt idx="1">
                  <c:v>0.3125</c:v>
                </c:pt>
                <c:pt idx="2">
                  <c:v>6.25E-2</c:v>
                </c:pt>
                <c:pt idx="3">
                  <c:v>6.25E-2</c:v>
                </c:pt>
              </c:numCache>
            </c:numRef>
          </c:val>
          <c:extLst>
            <c:ext xmlns:c16="http://schemas.microsoft.com/office/drawing/2014/chart" uri="{C3380CC4-5D6E-409C-BE32-E72D297353CC}">
              <c16:uniqueId val="{00000000-37B6-4F4F-8E76-C7400DD4D976}"/>
            </c:ext>
          </c:extLst>
        </c:ser>
        <c:ser>
          <c:idx val="1"/>
          <c:order val="1"/>
          <c:tx>
            <c:strRef>
              <c:f>'The N-Pattern Visualized'!$C$40</c:f>
              <c:strCache>
                <c:ptCount val="1"/>
                <c:pt idx="0">
                  <c:v>DJI</c:v>
                </c:pt>
              </c:strCache>
            </c:strRef>
          </c:tx>
          <c:spPr>
            <a:solidFill>
              <a:srgbClr val="1E7B45"/>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'The N-Pattern Visualized'!$A$41:$A$44</c:f>
              <c:strCache>
                <c:ptCount val="4"/>
                <c:pt idx="0">
                  <c:v>Higher low (no real retest)</c:v>
                </c:pt>
                <c:pt idx="1">
                  <c:v>N (retest ~ old low)</c:v>
                </c:pt>
                <c:pt idx="2">
                  <c:v>N (retest makes lower low)</c:v>
                </c:pt>
                <c:pt idx="3">
                  <c:v>No pre-election rally</c:v>
                </c:pt>
              </c:strCache>
            </c:strRef>
          </c:cat>
          <c:val>
            <c:numRef>
              <c:f>'The N-Pattern Visualized'!$C$41:$C$44</c:f>
              <c:numCache>
                <c:formatCode>0%</c:formatCode>
                <c:ptCount val="4"/>
                <c:pt idx="0">
                  <c:v>0.125</c:v>
                </c:pt>
                <c:pt idx="1">
                  <c:v>0.3125</c:v>
                </c:pt>
                <c:pt idx="2">
                  <c:v>0.25</c:v>
                </c:pt>
                <c:pt idx="3">
                  <c:v>0.3125</c:v>
                </c:pt>
              </c:numCache>
            </c:numRef>
          </c:val>
          <c:extLst>
            <c:ext xmlns:c16="http://schemas.microsoft.com/office/drawing/2014/chart" uri="{C3380CC4-5D6E-409C-BE32-E72D297353CC}">
              <c16:uniqueId val="{00000001-37B6-4F4F-8E76-C7400DD4D976}"/>
            </c:ext>
          </c:extLst>
        </c:ser>
        <c:ser>
          <c:idx val="2"/>
          <c:order val="2"/>
          <c:tx>
            <c:strRef>
              <c:f>'The N-Pattern Visualized'!$D$40</c:f>
              <c:strCache>
                <c:ptCount val="1"/>
                <c:pt idx="0">
                  <c:v>NASDAQ</c:v>
                </c:pt>
              </c:strCache>
            </c:strRef>
          </c:tx>
          <c:spPr>
            <a:solidFill>
              <a:srgbClr val="B8720A"/>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'The N-Pattern Visualized'!$A$41:$A$44</c:f>
              <c:strCache>
                <c:ptCount val="4"/>
                <c:pt idx="0">
                  <c:v>Higher low (no real retest)</c:v>
                </c:pt>
                <c:pt idx="1">
                  <c:v>N (retest ~ old low)</c:v>
                </c:pt>
                <c:pt idx="2">
                  <c:v>N (retest makes lower low)</c:v>
                </c:pt>
                <c:pt idx="3">
                  <c:v>No pre-election rally</c:v>
                </c:pt>
              </c:strCache>
            </c:strRef>
          </c:cat>
          <c:val>
            <c:numRef>
              <c:f>'The N-Pattern Visualized'!$D$41:$D$44</c:f>
              <c:numCache>
                <c:formatCode>0%</c:formatCode>
                <c:ptCount val="4"/>
                <c:pt idx="0">
                  <c:v>0.15384615384615399</c:v>
                </c:pt>
                <c:pt idx="1">
                  <c:v>0.15384615384615399</c:v>
                </c:pt>
                <c:pt idx="2">
                  <c:v>0.230769230769231</c:v>
                </c:pt>
                <c:pt idx="3">
                  <c:v>0.46153846153846201</c:v>
                </c:pt>
              </c:numCache>
            </c:numRef>
          </c:val>
          <c:extLst>
            <c:ext xmlns:c16="http://schemas.microsoft.com/office/drawing/2014/chart" uri="{C3380CC4-5D6E-409C-BE32-E72D297353CC}">
              <c16:uniqueId val="{00000002-37B6-4F4F-8E76-C7400DD4D976}"/>
            </c:ext>
          </c:extLst>
        </c:ser>
        <c:dLbls>
          <c:showLegendKey val="0"/>
          <c:showVal val="0"/>
          <c:showCatName val="0"/>
          <c:showSerName val="0"/>
          <c:showPercent val="0"/>
          <c:showBubbleSize val="0"/>
        </c:dLbls>
        <c:gapWidth val="150"/>
        <c:axId val="87192808"/>
        <c:axId val="61271307"/>
      </c:barChart>
      <c:catAx>
        <c:axId val="8719280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271307"/>
        <c:crosses val="autoZero"/>
        <c:auto val="1"/>
        <c:lblAlgn val="ctr"/>
        <c:lblOffset val="100"/>
        <c:noMultiLvlLbl val="0"/>
      </c:catAx>
      <c:valAx>
        <c:axId val="61271307"/>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719280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Mean 6-Month Forward Return by Position in the 4-Year Presidential Cycle</a:t>
            </a:r>
          </a:p>
        </c:rich>
      </c:tx>
      <c:overlay val="0"/>
      <c:spPr>
        <a:noFill/>
        <a:ln w="0">
          <a:noFill/>
        </a:ln>
      </c:spPr>
    </c:title>
    <c:autoTitleDeleted val="0"/>
    <c:plotArea>
      <c:layout/>
      <c:barChart>
        <c:barDir val="col"/>
        <c:grouping val="clustered"/>
        <c:varyColors val="0"/>
        <c:ser>
          <c:idx val="0"/>
          <c:order val="0"/>
          <c:tx>
            <c:strRef>
              <c:f>'Midterm Cycle Effect'!$B$26</c:f>
              <c:strCache>
                <c:ptCount val="1"/>
                <c:pt idx="0">
                  <c:v>SPX</c:v>
                </c:pt>
              </c:strCache>
            </c:strRef>
          </c:tx>
          <c:spPr>
            <a:solidFill>
              <a:srgbClr val="2E5AAC"/>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'Midterm Cycle Effect'!$A$27:$A$30</c:f>
              <c:strCache>
                <c:ptCount val="4"/>
                <c:pt idx="0">
                  <c:v>Midterm</c:v>
                </c:pt>
                <c:pt idx="1">
                  <c:v>Post-election</c:v>
                </c:pt>
                <c:pt idx="2">
                  <c:v>Pre-election</c:v>
                </c:pt>
                <c:pt idx="3">
                  <c:v>Presidential</c:v>
                </c:pt>
              </c:strCache>
            </c:strRef>
          </c:cat>
          <c:val>
            <c:numRef>
              <c:f>'Midterm Cycle Effect'!$B$27:$B$30</c:f>
              <c:numCache>
                <c:formatCode>0.0%</c:formatCode>
                <c:ptCount val="4"/>
                <c:pt idx="0">
                  <c:v>0.14199999999999999</c:v>
                </c:pt>
                <c:pt idx="1">
                  <c:v>0</c:v>
                </c:pt>
                <c:pt idx="2">
                  <c:v>0.1</c:v>
                </c:pt>
                <c:pt idx="3">
                  <c:v>0.105</c:v>
                </c:pt>
              </c:numCache>
            </c:numRef>
          </c:val>
          <c:extLst>
            <c:ext xmlns:c16="http://schemas.microsoft.com/office/drawing/2014/chart" uri="{C3380CC4-5D6E-409C-BE32-E72D297353CC}">
              <c16:uniqueId val="{00000000-6694-4D97-8AD4-A22F77B70E4D}"/>
            </c:ext>
          </c:extLst>
        </c:ser>
        <c:ser>
          <c:idx val="1"/>
          <c:order val="1"/>
          <c:tx>
            <c:strRef>
              <c:f>'Midterm Cycle Effect'!$C$26</c:f>
              <c:strCache>
                <c:ptCount val="1"/>
                <c:pt idx="0">
                  <c:v>DJI</c:v>
                </c:pt>
              </c:strCache>
            </c:strRef>
          </c:tx>
          <c:spPr>
            <a:solidFill>
              <a:srgbClr val="1E7B45"/>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'Midterm Cycle Effect'!$A$27:$A$30</c:f>
              <c:strCache>
                <c:ptCount val="4"/>
                <c:pt idx="0">
                  <c:v>Midterm</c:v>
                </c:pt>
                <c:pt idx="1">
                  <c:v>Post-election</c:v>
                </c:pt>
                <c:pt idx="2">
                  <c:v>Pre-election</c:v>
                </c:pt>
                <c:pt idx="3">
                  <c:v>Presidential</c:v>
                </c:pt>
              </c:strCache>
            </c:strRef>
          </c:cat>
          <c:val>
            <c:numRef>
              <c:f>'Midterm Cycle Effect'!$C$27:$C$30</c:f>
              <c:numCache>
                <c:formatCode>0.0%</c:formatCode>
                <c:ptCount val="4"/>
                <c:pt idx="0">
                  <c:v>0.15</c:v>
                </c:pt>
                <c:pt idx="1">
                  <c:v>8.7999999999999995E-2</c:v>
                </c:pt>
                <c:pt idx="2">
                  <c:v>7.1999999999999995E-2</c:v>
                </c:pt>
                <c:pt idx="3">
                  <c:v>8.8999999999999996E-2</c:v>
                </c:pt>
              </c:numCache>
            </c:numRef>
          </c:val>
          <c:extLst>
            <c:ext xmlns:c16="http://schemas.microsoft.com/office/drawing/2014/chart" uri="{C3380CC4-5D6E-409C-BE32-E72D297353CC}">
              <c16:uniqueId val="{00000001-6694-4D97-8AD4-A22F77B70E4D}"/>
            </c:ext>
          </c:extLst>
        </c:ser>
        <c:ser>
          <c:idx val="2"/>
          <c:order val="2"/>
          <c:tx>
            <c:strRef>
              <c:f>'Midterm Cycle Effect'!$D$26</c:f>
              <c:strCache>
                <c:ptCount val="1"/>
                <c:pt idx="0">
                  <c:v>NASDAQ</c:v>
                </c:pt>
              </c:strCache>
            </c:strRef>
          </c:tx>
          <c:spPr>
            <a:solidFill>
              <a:srgbClr val="B8720A"/>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'Midterm Cycle Effect'!$A$27:$A$30</c:f>
              <c:strCache>
                <c:ptCount val="4"/>
                <c:pt idx="0">
                  <c:v>Midterm</c:v>
                </c:pt>
                <c:pt idx="1">
                  <c:v>Post-election</c:v>
                </c:pt>
                <c:pt idx="2">
                  <c:v>Pre-election</c:v>
                </c:pt>
                <c:pt idx="3">
                  <c:v>Presidential</c:v>
                </c:pt>
              </c:strCache>
            </c:strRef>
          </c:cat>
          <c:val>
            <c:numRef>
              <c:f>'Midterm Cycle Effect'!$D$27:$D$30</c:f>
              <c:numCache>
                <c:formatCode>0.0%</c:formatCode>
                <c:ptCount val="4"/>
                <c:pt idx="0">
                  <c:v>0.154</c:v>
                </c:pt>
                <c:pt idx="1">
                  <c:v>0.151</c:v>
                </c:pt>
                <c:pt idx="2">
                  <c:v>0.16700000000000001</c:v>
                </c:pt>
                <c:pt idx="3">
                  <c:v>8.5000000000000006E-2</c:v>
                </c:pt>
              </c:numCache>
            </c:numRef>
          </c:val>
          <c:extLst>
            <c:ext xmlns:c16="http://schemas.microsoft.com/office/drawing/2014/chart" uri="{C3380CC4-5D6E-409C-BE32-E72D297353CC}">
              <c16:uniqueId val="{00000002-6694-4D97-8AD4-A22F77B70E4D}"/>
            </c:ext>
          </c:extLst>
        </c:ser>
        <c:dLbls>
          <c:showLegendKey val="0"/>
          <c:showVal val="0"/>
          <c:showCatName val="0"/>
          <c:showSerName val="0"/>
          <c:showPercent val="0"/>
          <c:showBubbleSize val="0"/>
        </c:dLbls>
        <c:gapWidth val="150"/>
        <c:axId val="56411186"/>
        <c:axId val="41943064"/>
      </c:barChart>
      <c:catAx>
        <c:axId val="5641118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Cycle position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943064"/>
        <c:crosses val="autoZero"/>
        <c:auto val="1"/>
        <c:lblAlgn val="ctr"/>
        <c:lblOffset val="100"/>
        <c:noMultiLvlLbl val="0"/>
      </c:catAx>
      <c:valAx>
        <c:axId val="4194306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Mean 6M return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4111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160560</xdr:rowOff>
    </xdr:from>
    <xdr:to>
      <xdr:col>14</xdr:col>
      <xdr:colOff>82080</xdr:colOff>
      <xdr:row>27</xdr:row>
      <xdr:rowOff>77760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38</xdr:row>
      <xdr:rowOff>160560</xdr:rowOff>
    </xdr:from>
    <xdr:to>
      <xdr:col>17</xdr:col>
      <xdr:colOff>301320</xdr:colOff>
      <xdr:row>54</xdr:row>
      <xdr:rowOff>161640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238125</xdr:colOff>
      <xdr:row>3</xdr:row>
      <xdr:rowOff>131985</xdr:rowOff>
    </xdr:from>
    <xdr:to>
      <xdr:col>22</xdr:col>
      <xdr:colOff>223470</xdr:colOff>
      <xdr:row>18</xdr:row>
      <xdr:rowOff>123540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0"/>
  <sheetViews>
    <sheetView showGridLines="0" tabSelected="1" zoomScaleNormal="100" workbookViewId="0">
      <selection sqref="A1:F1"/>
    </sheetView>
  </sheetViews>
  <sheetFormatPr defaultColWidth="8.7109375" defaultRowHeight="15" x14ac:dyDescent="0.25"/>
  <cols>
    <col min="1" max="6" width="16" customWidth="1"/>
  </cols>
  <sheetData>
    <row r="1" spans="1:6" ht="27.75" customHeight="1" x14ac:dyDescent="0.35">
      <c r="A1" s="14" t="s">
        <v>0</v>
      </c>
      <c r="B1" s="14"/>
      <c r="C1" s="14"/>
      <c r="D1" s="14"/>
      <c r="E1" s="14"/>
      <c r="F1" s="14"/>
    </row>
    <row r="3" spans="1:6" ht="39.75" customHeight="1" x14ac:dyDescent="0.25">
      <c r="A3" s="13" t="s">
        <v>1</v>
      </c>
      <c r="B3" s="13"/>
      <c r="C3" s="12" t="s">
        <v>2</v>
      </c>
      <c r="D3" s="12"/>
      <c r="E3" s="12"/>
      <c r="F3" s="12"/>
    </row>
    <row r="4" spans="1:6" ht="39.75" customHeight="1" x14ac:dyDescent="0.25">
      <c r="A4" s="13" t="s">
        <v>3</v>
      </c>
      <c r="B4" s="13"/>
      <c r="C4" s="12" t="s">
        <v>4</v>
      </c>
      <c r="D4" s="12"/>
      <c r="E4" s="12"/>
      <c r="F4" s="12"/>
    </row>
    <row r="5" spans="1:6" ht="39.75" customHeight="1" x14ac:dyDescent="0.25">
      <c r="A5" s="13" t="s">
        <v>5</v>
      </c>
      <c r="B5" s="13"/>
      <c r="C5" s="12" t="s">
        <v>6</v>
      </c>
      <c r="D5" s="12"/>
      <c r="E5" s="12"/>
      <c r="F5" s="12"/>
    </row>
    <row r="6" spans="1:6" ht="39.75" customHeight="1" x14ac:dyDescent="0.25">
      <c r="A6" s="13" t="s">
        <v>7</v>
      </c>
      <c r="B6" s="13"/>
      <c r="C6" s="12" t="s">
        <v>8</v>
      </c>
      <c r="D6" s="12"/>
      <c r="E6" s="12"/>
      <c r="F6" s="12"/>
    </row>
    <row r="7" spans="1:6" ht="39.75" customHeight="1" x14ac:dyDescent="0.25">
      <c r="A7" s="13" t="s">
        <v>9</v>
      </c>
      <c r="B7" s="13"/>
      <c r="C7" s="12" t="s">
        <v>10</v>
      </c>
      <c r="D7" s="12"/>
      <c r="E7" s="12"/>
      <c r="F7" s="12"/>
    </row>
    <row r="8" spans="1:6" ht="39.75" customHeight="1" x14ac:dyDescent="0.25">
      <c r="A8" s="13" t="s">
        <v>11</v>
      </c>
      <c r="B8" s="13"/>
      <c r="C8" s="12" t="s">
        <v>12</v>
      </c>
      <c r="D8" s="12"/>
      <c r="E8" s="12"/>
      <c r="F8" s="12"/>
    </row>
    <row r="9" spans="1:6" ht="39.75" customHeight="1" x14ac:dyDescent="0.25">
      <c r="A9" s="13" t="s">
        <v>13</v>
      </c>
      <c r="B9" s="13"/>
      <c r="C9" s="12" t="s">
        <v>14</v>
      </c>
      <c r="D9" s="12"/>
      <c r="E9" s="12"/>
      <c r="F9" s="12"/>
    </row>
    <row r="10" spans="1:6" ht="39.75" customHeight="1" x14ac:dyDescent="0.25">
      <c r="A10" s="13" t="s">
        <v>15</v>
      </c>
      <c r="B10" s="13"/>
      <c r="C10" s="12" t="s">
        <v>16</v>
      </c>
      <c r="D10" s="12"/>
      <c r="E10" s="12"/>
      <c r="F10" s="12"/>
    </row>
    <row r="12" spans="1:6" x14ac:dyDescent="0.25">
      <c r="A12" s="11" t="s">
        <v>17</v>
      </c>
      <c r="B12" s="11"/>
      <c r="C12" s="11"/>
      <c r="D12" s="11"/>
      <c r="E12" s="11"/>
      <c r="F12" s="11"/>
    </row>
    <row r="13" spans="1:6" ht="69.75" customHeight="1" x14ac:dyDescent="0.25">
      <c r="A13" s="10" t="s">
        <v>18</v>
      </c>
      <c r="B13" s="10"/>
      <c r="C13" s="10"/>
      <c r="D13" s="10"/>
      <c r="E13" s="10"/>
      <c r="F13" s="10"/>
    </row>
    <row r="15" spans="1:6" x14ac:dyDescent="0.25">
      <c r="A15" s="9" t="s">
        <v>19</v>
      </c>
      <c r="B15" s="9"/>
      <c r="C15" s="9"/>
      <c r="D15" s="9"/>
      <c r="E15" s="9"/>
      <c r="F15" s="9"/>
    </row>
    <row r="16" spans="1:6" ht="30" customHeight="1" x14ac:dyDescent="0.25">
      <c r="A16" s="8" t="s">
        <v>20</v>
      </c>
      <c r="B16" s="8"/>
      <c r="C16" s="8"/>
      <c r="D16" s="8"/>
      <c r="E16" s="8"/>
      <c r="F16" s="8"/>
    </row>
    <row r="17" spans="1:6" ht="30" customHeight="1" x14ac:dyDescent="0.25">
      <c r="A17" s="8" t="s">
        <v>21</v>
      </c>
      <c r="B17" s="8"/>
      <c r="C17" s="8"/>
      <c r="D17" s="8"/>
      <c r="E17" s="8"/>
      <c r="F17" s="8"/>
    </row>
    <row r="18" spans="1:6" ht="30" customHeight="1" x14ac:dyDescent="0.25">
      <c r="A18" s="8" t="s">
        <v>22</v>
      </c>
      <c r="B18" s="8"/>
      <c r="C18" s="8"/>
      <c r="D18" s="8"/>
      <c r="E18" s="8"/>
      <c r="F18" s="8"/>
    </row>
    <row r="19" spans="1:6" ht="30" customHeight="1" x14ac:dyDescent="0.25">
      <c r="A19" s="8" t="s">
        <v>23</v>
      </c>
      <c r="B19" s="8"/>
      <c r="C19" s="8"/>
      <c r="D19" s="8"/>
      <c r="E19" s="8"/>
      <c r="F19" s="8"/>
    </row>
    <row r="20" spans="1:6" ht="30" customHeight="1" x14ac:dyDescent="0.25">
      <c r="A20" s="8" t="s">
        <v>24</v>
      </c>
      <c r="B20" s="8"/>
      <c r="C20" s="8"/>
      <c r="D20" s="8"/>
      <c r="E20" s="8"/>
      <c r="F20" s="8"/>
    </row>
  </sheetData>
  <mergeCells count="25">
    <mergeCell ref="A18:F18"/>
    <mergeCell ref="A19:F19"/>
    <mergeCell ref="A20:F20"/>
    <mergeCell ref="A12:F12"/>
    <mergeCell ref="A13:F13"/>
    <mergeCell ref="A15:F15"/>
    <mergeCell ref="A16:F16"/>
    <mergeCell ref="A17:F17"/>
    <mergeCell ref="A8:B8"/>
    <mergeCell ref="C8:F8"/>
    <mergeCell ref="A9:B9"/>
    <mergeCell ref="C9:F9"/>
    <mergeCell ref="A10:B10"/>
    <mergeCell ref="C10:F10"/>
    <mergeCell ref="A5:B5"/>
    <mergeCell ref="C5:F5"/>
    <mergeCell ref="A6:B6"/>
    <mergeCell ref="C6:F6"/>
    <mergeCell ref="A7:B7"/>
    <mergeCell ref="C7:F7"/>
    <mergeCell ref="A1:F1"/>
    <mergeCell ref="A3:B3"/>
    <mergeCell ref="C3:F3"/>
    <mergeCell ref="A4:B4"/>
    <mergeCell ref="C4:F4"/>
  </mergeCells>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34"/>
  <sheetViews>
    <sheetView showGridLines="0" zoomScaleNormal="100" workbookViewId="0">
      <selection sqref="A1:L1"/>
    </sheetView>
  </sheetViews>
  <sheetFormatPr defaultColWidth="8.7109375" defaultRowHeight="15" x14ac:dyDescent="0.25"/>
  <cols>
    <col min="1" max="12" width="9" customWidth="1"/>
  </cols>
  <sheetData>
    <row r="1" spans="1:12" ht="33.75" customHeight="1" x14ac:dyDescent="0.35">
      <c r="A1" s="7" t="s">
        <v>25</v>
      </c>
      <c r="B1" s="7"/>
      <c r="C1" s="7"/>
      <c r="D1" s="7"/>
      <c r="E1" s="7"/>
      <c r="F1" s="7"/>
      <c r="G1" s="7"/>
      <c r="H1" s="7"/>
      <c r="I1" s="7"/>
      <c r="J1" s="7"/>
      <c r="K1" s="7"/>
      <c r="L1" s="7"/>
    </row>
    <row r="2" spans="1:12" ht="19.5" customHeight="1" x14ac:dyDescent="0.25">
      <c r="A2" s="6" t="s">
        <v>26</v>
      </c>
      <c r="B2" s="6"/>
      <c r="C2" s="6"/>
      <c r="D2" s="6"/>
      <c r="E2" s="6"/>
      <c r="F2" s="6"/>
      <c r="G2" s="6"/>
      <c r="H2" s="6"/>
      <c r="I2" s="6"/>
      <c r="J2" s="6"/>
      <c r="K2" s="6"/>
      <c r="L2" s="6"/>
    </row>
    <row r="4" spans="1:12" x14ac:dyDescent="0.25">
      <c r="A4" s="5" t="s">
        <v>27</v>
      </c>
      <c r="B4" s="5"/>
      <c r="C4" s="5"/>
      <c r="D4" s="5"/>
      <c r="E4" s="5"/>
      <c r="F4" s="5"/>
      <c r="G4" s="5"/>
      <c r="H4" s="5"/>
      <c r="I4" s="5"/>
      <c r="J4" s="5"/>
      <c r="K4" s="5"/>
      <c r="L4" s="5"/>
    </row>
    <row r="5" spans="1:12" ht="31.5" customHeight="1" x14ac:dyDescent="0.25">
      <c r="A5" s="4" t="s">
        <v>28</v>
      </c>
      <c r="B5" s="4"/>
      <c r="C5" s="4"/>
      <c r="D5" s="4"/>
      <c r="E5" s="4"/>
      <c r="F5" s="4"/>
      <c r="G5" s="4"/>
      <c r="H5" s="4"/>
      <c r="I5" s="4"/>
      <c r="J5" s="4"/>
      <c r="K5" s="4"/>
      <c r="L5" s="4"/>
    </row>
    <row r="6" spans="1:12" ht="31.5" customHeight="1" x14ac:dyDescent="0.25">
      <c r="A6" s="4"/>
      <c r="B6" s="4"/>
      <c r="C6" s="4"/>
      <c r="D6" s="4"/>
      <c r="E6" s="4"/>
      <c r="F6" s="4"/>
      <c r="G6" s="4"/>
      <c r="H6" s="4"/>
      <c r="I6" s="4"/>
      <c r="J6" s="4"/>
      <c r="K6" s="4"/>
      <c r="L6" s="4"/>
    </row>
    <row r="7" spans="1:12" ht="31.5" customHeight="1" x14ac:dyDescent="0.25">
      <c r="A7" s="4"/>
      <c r="B7" s="4"/>
      <c r="C7" s="4"/>
      <c r="D7" s="4"/>
      <c r="E7" s="4"/>
      <c r="F7" s="4"/>
      <c r="G7" s="4"/>
      <c r="H7" s="4"/>
      <c r="I7" s="4"/>
      <c r="J7" s="4"/>
      <c r="K7" s="4"/>
      <c r="L7" s="4"/>
    </row>
    <row r="9" spans="1:12" x14ac:dyDescent="0.25">
      <c r="A9" s="9" t="s">
        <v>29</v>
      </c>
      <c r="B9" s="9"/>
      <c r="C9" s="9"/>
      <c r="D9" s="9"/>
      <c r="E9" s="9"/>
      <c r="F9" s="9"/>
      <c r="G9" s="9"/>
      <c r="H9" s="9"/>
      <c r="I9" s="9"/>
      <c r="J9" s="9"/>
      <c r="K9" s="9"/>
      <c r="L9" s="9"/>
    </row>
    <row r="10" spans="1:12" x14ac:dyDescent="0.25">
      <c r="A10" s="3" t="s">
        <v>30</v>
      </c>
      <c r="B10" s="3"/>
      <c r="C10" s="3"/>
      <c r="D10" s="3"/>
      <c r="E10" s="3"/>
      <c r="F10" s="3"/>
      <c r="G10" s="3"/>
      <c r="H10" s="3"/>
      <c r="I10" s="3"/>
      <c r="J10" s="3"/>
      <c r="K10" s="3"/>
      <c r="L10" s="3"/>
    </row>
    <row r="11" spans="1:12" ht="27.75" customHeight="1" x14ac:dyDescent="0.25">
      <c r="A11" s="2" t="s">
        <v>31</v>
      </c>
      <c r="B11" s="2"/>
      <c r="C11" s="2"/>
      <c r="D11" s="2"/>
      <c r="E11" s="2"/>
      <c r="F11" s="2"/>
      <c r="G11" s="2"/>
      <c r="H11" s="2"/>
      <c r="I11" s="2"/>
      <c r="J11" s="2"/>
      <c r="K11" s="2"/>
      <c r="L11" s="2"/>
    </row>
    <row r="12" spans="1:12" ht="27.75" customHeight="1" x14ac:dyDescent="0.25">
      <c r="A12" s="2" t="s">
        <v>32</v>
      </c>
      <c r="B12" s="2"/>
      <c r="C12" s="2"/>
      <c r="D12" s="2"/>
      <c r="E12" s="2"/>
      <c r="F12" s="2"/>
      <c r="G12" s="2"/>
      <c r="H12" s="2"/>
      <c r="I12" s="2"/>
      <c r="J12" s="2"/>
      <c r="K12" s="2"/>
      <c r="L12" s="2"/>
    </row>
    <row r="13" spans="1:12" ht="27.75" customHeight="1" x14ac:dyDescent="0.25">
      <c r="A13" s="2" t="s">
        <v>33</v>
      </c>
      <c r="B13" s="2"/>
      <c r="C13" s="2"/>
      <c r="D13" s="2"/>
      <c r="E13" s="2"/>
      <c r="F13" s="2"/>
      <c r="G13" s="2"/>
      <c r="H13" s="2"/>
      <c r="I13" s="2"/>
      <c r="J13" s="2"/>
      <c r="K13" s="2"/>
      <c r="L13" s="2"/>
    </row>
    <row r="15" spans="1:12" x14ac:dyDescent="0.25">
      <c r="A15" s="1" t="s">
        <v>34</v>
      </c>
      <c r="B15" s="1"/>
      <c r="C15" s="1"/>
      <c r="D15" s="1"/>
      <c r="E15" s="1"/>
      <c r="F15" s="1"/>
      <c r="G15" s="1"/>
      <c r="H15" s="1"/>
      <c r="I15" s="1"/>
      <c r="J15" s="1"/>
      <c r="K15" s="1"/>
      <c r="L15" s="1"/>
    </row>
    <row r="16" spans="1:12" ht="27.75" customHeight="1" x14ac:dyDescent="0.25">
      <c r="A16" s="62" t="s">
        <v>35</v>
      </c>
      <c r="B16" s="62"/>
      <c r="C16" s="62"/>
      <c r="D16" s="62"/>
      <c r="E16" s="62"/>
      <c r="F16" s="62"/>
      <c r="G16" s="62"/>
      <c r="H16" s="62"/>
      <c r="I16" s="62"/>
      <c r="J16" s="62"/>
      <c r="K16" s="62"/>
      <c r="L16" s="62"/>
    </row>
    <row r="17" spans="1:12" ht="27.75" customHeight="1" x14ac:dyDescent="0.25">
      <c r="A17" s="62" t="s">
        <v>36</v>
      </c>
      <c r="B17" s="62"/>
      <c r="C17" s="62"/>
      <c r="D17" s="62"/>
      <c r="E17" s="62"/>
      <c r="F17" s="62"/>
      <c r="G17" s="62"/>
      <c r="H17" s="62"/>
      <c r="I17" s="62"/>
      <c r="J17" s="62"/>
      <c r="K17" s="62"/>
      <c r="L17" s="62"/>
    </row>
    <row r="19" spans="1:12" x14ac:dyDescent="0.25">
      <c r="A19" s="63" t="s">
        <v>37</v>
      </c>
      <c r="B19" s="63"/>
      <c r="C19" s="63"/>
      <c r="D19" s="63"/>
      <c r="E19" s="63"/>
      <c r="F19" s="63"/>
      <c r="G19" s="63"/>
      <c r="H19" s="63"/>
      <c r="I19" s="63"/>
      <c r="J19" s="63"/>
      <c r="K19" s="63"/>
      <c r="L19" s="63"/>
    </row>
    <row r="20" spans="1:12" ht="27.75" customHeight="1" x14ac:dyDescent="0.25">
      <c r="A20" s="64" t="s">
        <v>38</v>
      </c>
      <c r="B20" s="64"/>
      <c r="C20" s="64"/>
      <c r="D20" s="64"/>
      <c r="E20" s="64"/>
      <c r="F20" s="64"/>
      <c r="G20" s="64"/>
      <c r="H20" s="64"/>
      <c r="I20" s="64"/>
      <c r="J20" s="64"/>
      <c r="K20" s="64"/>
      <c r="L20" s="64"/>
    </row>
    <row r="21" spans="1:12" ht="27.75" customHeight="1" x14ac:dyDescent="0.25">
      <c r="A21" s="64" t="s">
        <v>39</v>
      </c>
      <c r="B21" s="64"/>
      <c r="C21" s="64"/>
      <c r="D21" s="64"/>
      <c r="E21" s="64"/>
      <c r="F21" s="64"/>
      <c r="G21" s="64"/>
      <c r="H21" s="64"/>
      <c r="I21" s="64"/>
      <c r="J21" s="64"/>
      <c r="K21" s="64"/>
      <c r="L21" s="64"/>
    </row>
    <row r="22" spans="1:12" ht="27.75" customHeight="1" x14ac:dyDescent="0.25">
      <c r="A22" s="64" t="s">
        <v>40</v>
      </c>
      <c r="B22" s="64"/>
      <c r="C22" s="64"/>
      <c r="D22" s="64"/>
      <c r="E22" s="64"/>
      <c r="F22" s="64"/>
      <c r="G22" s="64"/>
      <c r="H22" s="64"/>
      <c r="I22" s="64"/>
      <c r="J22" s="64"/>
      <c r="K22" s="64"/>
      <c r="L22" s="64"/>
    </row>
    <row r="25" spans="1:12" x14ac:dyDescent="0.25">
      <c r="A25" s="9" t="s">
        <v>41</v>
      </c>
      <c r="B25" s="9"/>
      <c r="C25" s="9"/>
      <c r="D25" s="9"/>
      <c r="E25" s="9"/>
      <c r="F25" s="9"/>
      <c r="G25" s="9"/>
      <c r="H25" s="9"/>
      <c r="I25" s="9"/>
      <c r="J25" s="9"/>
      <c r="K25" s="9"/>
      <c r="L25" s="9"/>
    </row>
    <row r="26" spans="1:12" ht="33.75" customHeight="1" x14ac:dyDescent="0.45">
      <c r="A26" s="65" t="s">
        <v>42</v>
      </c>
      <c r="B26" s="65"/>
      <c r="C26" s="65"/>
      <c r="D26" s="65" t="s">
        <v>43</v>
      </c>
      <c r="E26" s="65"/>
      <c r="F26" s="65"/>
      <c r="G26" s="65" t="s">
        <v>44</v>
      </c>
      <c r="H26" s="65"/>
      <c r="I26" s="65"/>
      <c r="J26" s="65" t="s">
        <v>45</v>
      </c>
      <c r="K26" s="65"/>
      <c r="L26" s="65"/>
    </row>
    <row r="27" spans="1:12" ht="33.75" customHeight="1" x14ac:dyDescent="0.25">
      <c r="A27" s="66" t="s">
        <v>46</v>
      </c>
      <c r="B27" s="66"/>
      <c r="C27" s="66"/>
      <c r="D27" s="66" t="s">
        <v>47</v>
      </c>
      <c r="E27" s="66"/>
      <c r="F27" s="66"/>
      <c r="G27" s="66" t="s">
        <v>48</v>
      </c>
      <c r="H27" s="66"/>
      <c r="I27" s="66"/>
      <c r="J27" s="66" t="s">
        <v>49</v>
      </c>
      <c r="K27" s="66"/>
      <c r="L27" s="66"/>
    </row>
    <row r="29" spans="1:12" x14ac:dyDescent="0.25">
      <c r="A29" s="9" t="s">
        <v>50</v>
      </c>
      <c r="B29" s="9"/>
      <c r="C29" s="9"/>
      <c r="D29" s="9"/>
      <c r="E29" s="9"/>
      <c r="F29" s="9"/>
      <c r="G29" s="9"/>
      <c r="H29" s="9"/>
      <c r="I29" s="9"/>
      <c r="J29" s="9"/>
      <c r="K29" s="9"/>
      <c r="L29" s="9"/>
    </row>
    <row r="30" spans="1:12" ht="21.75" customHeight="1" x14ac:dyDescent="0.25">
      <c r="A30" s="67" t="s">
        <v>3</v>
      </c>
      <c r="B30" s="67"/>
      <c r="C30" s="67"/>
      <c r="D30" s="68" t="s">
        <v>51</v>
      </c>
      <c r="E30" s="68"/>
      <c r="F30" s="68"/>
      <c r="G30" s="68"/>
      <c r="H30" s="68"/>
      <c r="I30" s="68"/>
      <c r="J30" s="68"/>
      <c r="K30" s="68"/>
      <c r="L30" s="68"/>
    </row>
    <row r="31" spans="1:12" ht="21.75" customHeight="1" x14ac:dyDescent="0.25">
      <c r="A31" s="67" t="s">
        <v>5</v>
      </c>
      <c r="B31" s="67"/>
      <c r="C31" s="67"/>
      <c r="D31" s="68" t="s">
        <v>52</v>
      </c>
      <c r="E31" s="68"/>
      <c r="F31" s="68"/>
      <c r="G31" s="68"/>
      <c r="H31" s="68"/>
      <c r="I31" s="68"/>
      <c r="J31" s="68"/>
      <c r="K31" s="68"/>
      <c r="L31" s="68"/>
    </row>
    <row r="32" spans="1:12" ht="21.75" customHeight="1" x14ac:dyDescent="0.25">
      <c r="A32" s="67" t="s">
        <v>7</v>
      </c>
      <c r="B32" s="67"/>
      <c r="C32" s="67"/>
      <c r="D32" s="68" t="s">
        <v>53</v>
      </c>
      <c r="E32" s="68"/>
      <c r="F32" s="68"/>
      <c r="G32" s="68"/>
      <c r="H32" s="68"/>
      <c r="I32" s="68"/>
      <c r="J32" s="68"/>
      <c r="K32" s="68"/>
      <c r="L32" s="68"/>
    </row>
    <row r="33" spans="1:12" ht="21.75" customHeight="1" x14ac:dyDescent="0.25">
      <c r="A33" s="67" t="s">
        <v>9</v>
      </c>
      <c r="B33" s="67"/>
      <c r="C33" s="67"/>
      <c r="D33" s="68" t="s">
        <v>54</v>
      </c>
      <c r="E33" s="68"/>
      <c r="F33" s="68"/>
      <c r="G33" s="68"/>
      <c r="H33" s="68"/>
      <c r="I33" s="68"/>
      <c r="J33" s="68"/>
      <c r="K33" s="68"/>
      <c r="L33" s="68"/>
    </row>
    <row r="34" spans="1:12" ht="21.75" customHeight="1" x14ac:dyDescent="0.25">
      <c r="A34" s="67" t="s">
        <v>11</v>
      </c>
      <c r="B34" s="67"/>
      <c r="C34" s="67"/>
      <c r="D34" s="68" t="s">
        <v>55</v>
      </c>
      <c r="E34" s="68"/>
      <c r="F34" s="68"/>
      <c r="G34" s="68"/>
      <c r="H34" s="68"/>
      <c r="I34" s="68"/>
      <c r="J34" s="68"/>
      <c r="K34" s="68"/>
      <c r="L34" s="68"/>
    </row>
  </sheetData>
  <mergeCells count="36">
    <mergeCell ref="A33:C33"/>
    <mergeCell ref="D33:L33"/>
    <mergeCell ref="A34:C34"/>
    <mergeCell ref="D34:L34"/>
    <mergeCell ref="A30:C30"/>
    <mergeCell ref="D30:L30"/>
    <mergeCell ref="A31:C31"/>
    <mergeCell ref="D31:L31"/>
    <mergeCell ref="A32:C32"/>
    <mergeCell ref="D32:L32"/>
    <mergeCell ref="A27:C27"/>
    <mergeCell ref="D27:F27"/>
    <mergeCell ref="G27:I27"/>
    <mergeCell ref="J27:L27"/>
    <mergeCell ref="A29:L29"/>
    <mergeCell ref="A22:L22"/>
    <mergeCell ref="A25:L25"/>
    <mergeCell ref="A26:C26"/>
    <mergeCell ref="D26:F26"/>
    <mergeCell ref="G26:I26"/>
    <mergeCell ref="J26:L26"/>
    <mergeCell ref="A16:L16"/>
    <mergeCell ref="A17:L17"/>
    <mergeCell ref="A19:L19"/>
    <mergeCell ref="A20:L20"/>
    <mergeCell ref="A21:L21"/>
    <mergeCell ref="A10:L10"/>
    <mergeCell ref="A11:L11"/>
    <mergeCell ref="A12:L12"/>
    <mergeCell ref="A13:L13"/>
    <mergeCell ref="A15:L15"/>
    <mergeCell ref="A1:L1"/>
    <mergeCell ref="A2:L2"/>
    <mergeCell ref="A4:L4"/>
    <mergeCell ref="A5:L7"/>
    <mergeCell ref="A9:L9"/>
  </mergeCells>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1"/>
  <sheetViews>
    <sheetView showGridLines="0" zoomScaleNormal="100" workbookViewId="0">
      <pane ySplit="4" topLeftCell="A5" activePane="bottomLeft" state="frozen"/>
      <selection pane="bottomLeft" sqref="A1:K1"/>
    </sheetView>
  </sheetViews>
  <sheetFormatPr defaultColWidth="8.7109375" defaultRowHeight="15" x14ac:dyDescent="0.25"/>
  <cols>
    <col min="1" max="1" width="7" customWidth="1"/>
    <col min="2" max="2" width="13" customWidth="1"/>
    <col min="3" max="3" width="20" customWidth="1"/>
    <col min="4" max="4" width="46" customWidth="1"/>
    <col min="5" max="5" width="12" customWidth="1"/>
    <col min="6" max="6" width="13" customWidth="1"/>
    <col min="7" max="7" width="14" customWidth="1"/>
    <col min="8" max="11" width="11" customWidth="1"/>
  </cols>
  <sheetData>
    <row r="1" spans="1:11" ht="18.75" x14ac:dyDescent="0.3">
      <c r="A1" s="69" t="s">
        <v>56</v>
      </c>
      <c r="B1" s="69"/>
      <c r="C1" s="69"/>
      <c r="D1" s="69"/>
      <c r="E1" s="69"/>
      <c r="F1" s="69"/>
      <c r="G1" s="69"/>
      <c r="H1" s="69"/>
      <c r="I1" s="69"/>
      <c r="J1" s="69"/>
      <c r="K1" s="69"/>
    </row>
    <row r="2" spans="1:11" ht="27.75" customHeight="1" x14ac:dyDescent="0.25">
      <c r="A2" s="70" t="s">
        <v>57</v>
      </c>
      <c r="B2" s="70"/>
      <c r="C2" s="70"/>
      <c r="D2" s="70"/>
      <c r="E2" s="70"/>
      <c r="F2" s="70"/>
      <c r="G2" s="70"/>
      <c r="H2" s="70"/>
      <c r="I2" s="70"/>
      <c r="J2" s="70"/>
      <c r="K2" s="70"/>
    </row>
    <row r="4" spans="1:11" ht="42" customHeight="1" x14ac:dyDescent="0.25">
      <c r="A4" s="16" t="s">
        <v>58</v>
      </c>
      <c r="B4" s="16" t="s">
        <v>59</v>
      </c>
      <c r="C4" s="16" t="s">
        <v>60</v>
      </c>
      <c r="D4" s="16" t="s">
        <v>61</v>
      </c>
      <c r="E4" s="16" t="s">
        <v>62</v>
      </c>
      <c r="F4" s="16" t="s">
        <v>63</v>
      </c>
      <c r="G4" s="16" t="s">
        <v>64</v>
      </c>
      <c r="H4" s="16" t="s">
        <v>65</v>
      </c>
      <c r="I4" s="16" t="s">
        <v>66</v>
      </c>
      <c r="J4" s="16" t="s">
        <v>67</v>
      </c>
      <c r="K4" s="16" t="s">
        <v>68</v>
      </c>
    </row>
    <row r="5" spans="1:11" ht="57.75" customHeight="1" x14ac:dyDescent="0.25">
      <c r="A5" s="17">
        <v>1962</v>
      </c>
      <c r="B5" s="17" t="str">
        <f>IFERROR(TEXT(INDEX('Data - SPX'!$B:$B,MATCH($A5,'Data - SPX'!$A:$A,0)),"mmm d, yyyy"),TEXT(INDEX('Data - DJI'!$B:$B,MATCH($A5,'Data - DJI'!$A:$A,0)),"mmm d, yyyy"))</f>
        <v>Nov 6, 1962</v>
      </c>
      <c r="C5" s="18" t="s">
        <v>69</v>
      </c>
      <c r="D5" s="19" t="s">
        <v>70</v>
      </c>
      <c r="E5" s="20">
        <f>IFERROR(IF(INDEX('Data - SPX'!$E:$E,MATCH($A5,'Data - SPX'!$A:$A,0))="","n/a",INDEX('Data - SPX'!$E:$E,MATCH($A5,'Data - SPX'!$A:$A,0))),"n/a")</f>
        <v>11.04</v>
      </c>
      <c r="F5" s="20">
        <f>IFERROR(IF(INDEX('Data - SPX'!$I:$I,MATCH($A5,'Data - SPX'!$A:$A,0))="","n/a",INDEX('Data - SPX'!$I:$I,MATCH($A5,'Data - SPX'!$A:$A,0))),"n/a")</f>
        <v>-1.01</v>
      </c>
      <c r="G5" s="21" t="str">
        <f>IFERROR(IF(INDEX('Data - SPX'!$J:$J,MATCH($A5,'Data - SPX'!$A:$A,0))="","n/a",INDEX('Data - SPX'!$J:$J,MATCH($A5,'Data - SPX'!$A:$A,0))),"n/a")</f>
        <v>Higher low (no real retest)</v>
      </c>
      <c r="H5" s="20">
        <f>IFERROR(IF(INDEX('Data - SPX'!$P:$P,MATCH($A5,'Data - SPX'!$A:$A,0))="","n/a",INDEX('Data - SPX'!$P:$P,MATCH($A5,'Data - SPX'!$A:$A,0))),"n/a")</f>
        <v>19.16</v>
      </c>
      <c r="I5" s="20">
        <f>IFERROR(IF(INDEX('Data - DJI'!$P:$P,MATCH($A5,'Data - DJI'!$A:$A,0))="","n/a",INDEX('Data - DJI'!$P:$P,MATCH($A5,'Data - DJI'!$A:$A,0))),"n/a")</f>
        <v>21.97</v>
      </c>
      <c r="J5" s="20" t="str">
        <f>IFERROR(IF(INDEX('Data - NASDAQ'!$P:$P,MATCH($A5,'Data - NASDAQ'!$A:$A,0))="","n/a",INDEX('Data - NASDAQ'!$P:$P,MATCH($A5,'Data - NASDAQ'!$A:$A,0))),"n/a")</f>
        <v>n/a</v>
      </c>
      <c r="K5" s="20">
        <f>IFERROR(IF(INDEX('Data - SPX'!$Q:$Q,MATCH($A5,'Data - SPX'!$A:$A,0))="","n/a",INDEX('Data - SPX'!$Q:$Q,MATCH($A5,'Data - SPX'!$A:$A,0))),"n/a")</f>
        <v>24.78</v>
      </c>
    </row>
    <row r="6" spans="1:11" ht="57.75" customHeight="1" x14ac:dyDescent="0.25">
      <c r="A6" s="17">
        <v>1966</v>
      </c>
      <c r="B6" s="17" t="str">
        <f>IFERROR(TEXT(INDEX('Data - SPX'!$B:$B,MATCH($A6,'Data - SPX'!$A:$A,0)),"mmm d, yyyy"),TEXT(INDEX('Data - DJI'!$B:$B,MATCH($A6,'Data - DJI'!$A:$A,0)),"mmm d, yyyy"))</f>
        <v>Nov 8, 1966</v>
      </c>
      <c r="C6" s="22" t="s">
        <v>71</v>
      </c>
      <c r="D6" s="19" t="s">
        <v>72</v>
      </c>
      <c r="E6" s="20">
        <f>IFERROR(IF(INDEX('Data - SPX'!$E:$E,MATCH($A6,'Data - SPX'!$A:$A,0))="","n/a",INDEX('Data - SPX'!$E:$E,MATCH($A6,'Data - SPX'!$A:$A,0))),"n/a")</f>
        <v>11.69</v>
      </c>
      <c r="F6" s="20">
        <f>IFERROR(IF(INDEX('Data - SPX'!$I:$I,MATCH($A6,'Data - SPX'!$A:$A,0))="","n/a",INDEX('Data - SPX'!$I:$I,MATCH($A6,'Data - SPX'!$A:$A,0))),"n/a")</f>
        <v>-2.2799999999999998</v>
      </c>
      <c r="G6" s="21" t="str">
        <f>IFERROR(IF(INDEX('Data - SPX'!$J:$J,MATCH($A6,'Data - SPX'!$A:$A,0))="","n/a",INDEX('Data - SPX'!$J:$J,MATCH($A6,'Data - SPX'!$A:$A,0))),"n/a")</f>
        <v>Higher low (no real retest)</v>
      </c>
      <c r="H6" s="20">
        <f>IFERROR(IF(INDEX('Data - SPX'!$P:$P,MATCH($A6,'Data - SPX'!$A:$A,0))="","n/a",INDEX('Data - SPX'!$P:$P,MATCH($A6,'Data - SPX'!$A:$A,0))),"n/a")</f>
        <v>17.16</v>
      </c>
      <c r="I6" s="20">
        <f>IFERROR(IF(INDEX('Data - DJI'!$P:$P,MATCH($A6,'Data - DJI'!$A:$A,0))="","n/a",INDEX('Data - DJI'!$P:$P,MATCH($A6,'Data - DJI'!$A:$A,0))),"n/a")</f>
        <v>3.23</v>
      </c>
      <c r="J6" s="20" t="str">
        <f>IFERROR(IF(INDEX('Data - NASDAQ'!$P:$P,MATCH($A6,'Data - NASDAQ'!$A:$A,0))="","n/a",INDEX('Data - NASDAQ'!$P:$P,MATCH($A6,'Data - NASDAQ'!$A:$A,0))),"n/a")</f>
        <v>n/a</v>
      </c>
      <c r="K6" s="20">
        <f>IFERROR(IF(INDEX('Data - SPX'!$Q:$Q,MATCH($A6,'Data - SPX'!$A:$A,0))="","n/a",INDEX('Data - SPX'!$Q:$Q,MATCH($A6,'Data - SPX'!$A:$A,0))),"n/a")</f>
        <v>12.89</v>
      </c>
    </row>
    <row r="7" spans="1:11" ht="57.75" customHeight="1" x14ac:dyDescent="0.25">
      <c r="A7" s="17">
        <v>1970</v>
      </c>
      <c r="B7" s="17" t="str">
        <f>IFERROR(TEXT(INDEX('Data - SPX'!$B:$B,MATCH($A7,'Data - SPX'!$A:$A,0)),"mmm d, yyyy"),TEXT(INDEX('Data - DJI'!$B:$B,MATCH($A7,'Data - DJI'!$A:$A,0)),"mmm d, yyyy"))</f>
        <v>Nov 3, 1970</v>
      </c>
      <c r="C7" s="23" t="s">
        <v>73</v>
      </c>
      <c r="D7" s="19" t="s">
        <v>74</v>
      </c>
      <c r="E7" s="20">
        <f>IFERROR(IF(INDEX('Data - SPX'!$E:$E,MATCH($A7,'Data - SPX'!$A:$A,0))="","n/a",INDEX('Data - SPX'!$E:$E,MATCH($A7,'Data - SPX'!$A:$A,0))),"n/a")</f>
        <v>4.21</v>
      </c>
      <c r="F7" s="20">
        <f>IFERROR(IF(INDEX('Data - SPX'!$I:$I,MATCH($A7,'Data - SPX'!$A:$A,0))="","n/a",INDEX('Data - SPX'!$I:$I,MATCH($A7,'Data - SPX'!$A:$A,0))),"n/a")</f>
        <v>-2.36</v>
      </c>
      <c r="G7" s="21" t="str">
        <f>IFERROR(IF(INDEX('Data - SPX'!$J:$J,MATCH($A7,'Data - SPX'!$A:$A,0))="","n/a",INDEX('Data - SPX'!$J:$J,MATCH($A7,'Data - SPX'!$A:$A,0))),"n/a")</f>
        <v>N (retest ~ old low)</v>
      </c>
      <c r="H7" s="20">
        <f>IFERROR(IF(INDEX('Data - SPX'!$P:$P,MATCH($A7,'Data - SPX'!$A:$A,0))="","n/a",INDEX('Data - SPX'!$P:$P,MATCH($A7,'Data - SPX'!$A:$A,0))),"n/a")</f>
        <v>22.64</v>
      </c>
      <c r="I7" s="20">
        <f>IFERROR(IF(INDEX('Data - DJI'!$P:$P,MATCH($A7,'Data - DJI'!$A:$A,0))="","n/a",INDEX('Data - DJI'!$P:$P,MATCH($A7,'Data - DJI'!$A:$A,0))),"n/a")</f>
        <v>15.41</v>
      </c>
      <c r="J7" s="20" t="str">
        <f>IFERROR(IF(INDEX('Data - NASDAQ'!$P:$P,MATCH($A7,'Data - NASDAQ'!$A:$A,0))="","n/a",INDEX('Data - NASDAQ'!$P:$P,MATCH($A7,'Data - NASDAQ'!$A:$A,0))),"n/a")</f>
        <v>n/a</v>
      </c>
      <c r="K7" s="20">
        <f>IFERROR(IF(INDEX('Data - SPX'!$Q:$Q,MATCH($A7,'Data - SPX'!$A:$A,0))="","n/a",INDEX('Data - SPX'!$Q:$Q,MATCH($A7,'Data - SPX'!$A:$A,0))),"n/a")</f>
        <v>12.69</v>
      </c>
    </row>
    <row r="8" spans="1:11" ht="57.75" customHeight="1" x14ac:dyDescent="0.25">
      <c r="A8" s="17">
        <v>1974</v>
      </c>
      <c r="B8" s="17" t="str">
        <f>IFERROR(TEXT(INDEX('Data - SPX'!$B:$B,MATCH($A8,'Data - SPX'!$A:$A,0)),"mmm d, yyyy"),TEXT(INDEX('Data - DJI'!$B:$B,MATCH($A8,'Data - DJI'!$A:$A,0)),"mmm d, yyyy"))</f>
        <v>Nov 5, 1974</v>
      </c>
      <c r="C8" s="24" t="s">
        <v>75</v>
      </c>
      <c r="D8" s="19" t="s">
        <v>76</v>
      </c>
      <c r="E8" s="20">
        <f>IFERROR(IF(INDEX('Data - SPX'!$E:$E,MATCH($A8,'Data - SPX'!$A:$A,0))="","n/a",INDEX('Data - SPX'!$E:$E,MATCH($A8,'Data - SPX'!$A:$A,0))),"n/a")</f>
        <v>23.21</v>
      </c>
      <c r="F8" s="20">
        <f>IFERROR(IF(INDEX('Data - SPX'!$I:$I,MATCH($A8,'Data - SPX'!$A:$A,0))="","n/a",INDEX('Data - SPX'!$I:$I,MATCH($A8,'Data - SPX'!$A:$A,0))),"n/a")</f>
        <v>-14.62</v>
      </c>
      <c r="G8" s="21" t="str">
        <f>IFERROR(IF(INDEX('Data - SPX'!$J:$J,MATCH($A8,'Data - SPX'!$A:$A,0))="","n/a",INDEX('Data - SPX'!$J:$J,MATCH($A8,'Data - SPX'!$A:$A,0))),"n/a")</f>
        <v>Higher low (no real retest)</v>
      </c>
      <c r="H8" s="20">
        <f>IFERROR(IF(INDEX('Data - SPX'!$P:$P,MATCH($A8,'Data - SPX'!$A:$A,0))="","n/a",INDEX('Data - SPX'!$P:$P,MATCH($A8,'Data - SPX'!$A:$A,0))),"n/a")</f>
        <v>19.93</v>
      </c>
      <c r="I8" s="20">
        <f>IFERROR(IF(INDEX('Data - DJI'!$P:$P,MATCH($A8,'Data - DJI'!$A:$A,0))="","n/a",INDEX('Data - DJI'!$P:$P,MATCH($A8,'Data - DJI'!$A:$A,0))),"n/a")</f>
        <v>1.28</v>
      </c>
      <c r="J8" s="20">
        <f>IFERROR(IF(INDEX('Data - NASDAQ'!$P:$P,MATCH($A8,'Data - NASDAQ'!$A:$A,0))="","n/a",INDEX('Data - NASDAQ'!$P:$P,MATCH($A8,'Data - NASDAQ'!$A:$A,0))),"n/a")</f>
        <v>-9.6300000000000008</v>
      </c>
      <c r="K8" s="20">
        <f>IFERROR(IF(INDEX('Data - SPX'!$Q:$Q,MATCH($A8,'Data - SPX'!$A:$A,0))="","n/a",INDEX('Data - SPX'!$Q:$Q,MATCH($A8,'Data - SPX'!$A:$A,0))),"n/a")</f>
        <v>18.690000000000001</v>
      </c>
    </row>
    <row r="9" spans="1:11" ht="57.75" customHeight="1" x14ac:dyDescent="0.25">
      <c r="A9" s="17">
        <v>1978</v>
      </c>
      <c r="B9" s="17" t="str">
        <f>IFERROR(TEXT(INDEX('Data - SPX'!$B:$B,MATCH($A9,'Data - SPX'!$A:$A,0)),"mmm d, yyyy"),TEXT(INDEX('Data - DJI'!$B:$B,MATCH($A9,'Data - DJI'!$A:$A,0)),"mmm d, yyyy"))</f>
        <v>Nov 7, 1978</v>
      </c>
      <c r="C9" s="24" t="s">
        <v>77</v>
      </c>
      <c r="D9" s="19" t="s">
        <v>78</v>
      </c>
      <c r="E9" s="20">
        <f>IFERROR(IF(INDEX('Data - SPX'!$E:$E,MATCH($A9,'Data - SPX'!$A:$A,0))="","n/a",INDEX('Data - SPX'!$E:$E,MATCH($A9,'Data - SPX'!$A:$A,0))),"n/a")</f>
        <v>2.4</v>
      </c>
      <c r="F9" s="20">
        <f>IFERROR(IF(INDEX('Data - SPX'!$I:$I,MATCH($A9,'Data - SPX'!$A:$A,0))="","n/a",INDEX('Data - SPX'!$I:$I,MATCH($A9,'Data - SPX'!$A:$A,0))),"n/a")</f>
        <v>-2.2200000000000002</v>
      </c>
      <c r="G9" s="21" t="str">
        <f>IFERROR(IF(INDEX('Data - SPX'!$J:$J,MATCH($A9,'Data - SPX'!$A:$A,0))="","n/a",INDEX('Data - SPX'!$J:$J,MATCH($A9,'Data - SPX'!$A:$A,0))),"n/a")</f>
        <v>N (retest ~ old low)</v>
      </c>
      <c r="H9" s="20">
        <f>IFERROR(IF(INDEX('Data - SPX'!$P:$P,MATCH($A9,'Data - SPX'!$A:$A,0))="","n/a",INDEX('Data - SPX'!$P:$P,MATCH($A9,'Data - SPX'!$A:$A,0))),"n/a")</f>
        <v>5.51</v>
      </c>
      <c r="I9" s="20">
        <f>IFERROR(IF(INDEX('Data - DJI'!$P:$P,MATCH($A9,'Data - DJI'!$A:$A,0))="","n/a",INDEX('Data - DJI'!$P:$P,MATCH($A9,'Data - DJI'!$A:$A,0))),"n/a")</f>
        <v>1.76</v>
      </c>
      <c r="J9" s="20">
        <f>IFERROR(IF(INDEX('Data - NASDAQ'!$P:$P,MATCH($A9,'Data - NASDAQ'!$A:$A,0))="","n/a",INDEX('Data - NASDAQ'!$P:$P,MATCH($A9,'Data - NASDAQ'!$A:$A,0))),"n/a")</f>
        <v>14.99</v>
      </c>
      <c r="K9" s="20">
        <f>IFERROR(IF(INDEX('Data - SPX'!$Q:$Q,MATCH($A9,'Data - SPX'!$A:$A,0))="","n/a",INDEX('Data - SPX'!$Q:$Q,MATCH($A9,'Data - SPX'!$A:$A,0))),"n/a")</f>
        <v>6.41</v>
      </c>
    </row>
    <row r="10" spans="1:11" ht="57.75" customHeight="1" x14ac:dyDescent="0.25">
      <c r="A10" s="17">
        <v>1982</v>
      </c>
      <c r="B10" s="17" t="str">
        <f>IFERROR(TEXT(INDEX('Data - SPX'!$B:$B,MATCH($A10,'Data - SPX'!$A:$A,0)),"mmm d, yyyy"),TEXT(INDEX('Data - DJI'!$B:$B,MATCH($A10,'Data - DJI'!$A:$A,0)),"mmm d, yyyy"))</f>
        <v>Nov 2, 1982</v>
      </c>
      <c r="C10" s="25" t="s">
        <v>79</v>
      </c>
      <c r="D10" s="19" t="s">
        <v>80</v>
      </c>
      <c r="E10" s="20">
        <f>IFERROR(IF(INDEX('Data - SPX'!$E:$E,MATCH($A10,'Data - SPX'!$A:$A,0))="","n/a",INDEX('Data - SPX'!$E:$E,MATCH($A10,'Data - SPX'!$A:$A,0))),"n/a")</f>
        <v>4.5599999999999996</v>
      </c>
      <c r="F10" s="20">
        <f>IFERROR(IF(INDEX('Data - SPX'!$I:$I,MATCH($A10,'Data - SPX'!$A:$A,0))="","n/a",INDEX('Data - SPX'!$I:$I,MATCH($A10,'Data - SPX'!$A:$A,0))),"n/a")</f>
        <v>-4.43</v>
      </c>
      <c r="G10" s="21" t="str">
        <f>IFERROR(IF(INDEX('Data - SPX'!$J:$J,MATCH($A10,'Data - SPX'!$A:$A,0))="","n/a",INDEX('Data - SPX'!$J:$J,MATCH($A10,'Data - SPX'!$A:$A,0))),"n/a")</f>
        <v>N (retest ~ old low)</v>
      </c>
      <c r="H10" s="20">
        <f>IFERROR(IF(INDEX('Data - SPX'!$P:$P,MATCH($A10,'Data - SPX'!$A:$A,0))="","n/a",INDEX('Data - SPX'!$P:$P,MATCH($A10,'Data - SPX'!$A:$A,0))),"n/a")</f>
        <v>17.91</v>
      </c>
      <c r="I10" s="20">
        <f>IFERROR(IF(INDEX('Data - DJI'!$P:$P,MATCH($A10,'Data - DJI'!$A:$A,0))="","n/a",INDEX('Data - DJI'!$P:$P,MATCH($A10,'Data - DJI'!$A:$A,0))),"n/a")</f>
        <v>25.18</v>
      </c>
      <c r="J10" s="20">
        <f>IFERROR(IF(INDEX('Data - NASDAQ'!$P:$P,MATCH($A10,'Data - NASDAQ'!$A:$A,0))="","n/a",INDEX('Data - NASDAQ'!$P:$P,MATCH($A10,'Data - NASDAQ'!$A:$A,0))),"n/a")</f>
        <v>27.7</v>
      </c>
      <c r="K10" s="20">
        <f>IFERROR(IF(INDEX('Data - SPX'!$Q:$Q,MATCH($A10,'Data - SPX'!$A:$A,0))="","n/a",INDEX('Data - SPX'!$Q:$Q,MATCH($A10,'Data - SPX'!$A:$A,0))),"n/a")</f>
        <v>19.89</v>
      </c>
    </row>
    <row r="11" spans="1:11" ht="57.75" customHeight="1" x14ac:dyDescent="0.25">
      <c r="A11" s="17">
        <v>1986</v>
      </c>
      <c r="B11" s="17" t="str">
        <f>IFERROR(TEXT(INDEX('Data - SPX'!$B:$B,MATCH($A11,'Data - SPX'!$A:$A,0)),"mmm d, yyyy"),TEXT(INDEX('Data - DJI'!$B:$B,MATCH($A11,'Data - DJI'!$A:$A,0)),"mmm d, yyyy"))</f>
        <v>Nov 4, 1986</v>
      </c>
      <c r="C11" s="26" t="s">
        <v>81</v>
      </c>
      <c r="D11" s="19" t="s">
        <v>82</v>
      </c>
      <c r="E11" s="20">
        <f>IFERROR(IF(INDEX('Data - SPX'!$E:$E,MATCH($A11,'Data - SPX'!$A:$A,0))="","n/a",INDEX('Data - SPX'!$E:$E,MATCH($A11,'Data - SPX'!$A:$A,0))),"n/a")</f>
        <v>7.94</v>
      </c>
      <c r="F11" s="20">
        <f>IFERROR(IF(INDEX('Data - SPX'!$I:$I,MATCH($A11,'Data - SPX'!$A:$A,0))="","n/a",INDEX('Data - SPX'!$I:$I,MATCH($A11,'Data - SPX'!$A:$A,0))),"n/a")</f>
        <v>-4.34</v>
      </c>
      <c r="G11" s="21" t="str">
        <f>IFERROR(IF(INDEX('Data - SPX'!$J:$J,MATCH($A11,'Data - SPX'!$A:$A,0))="","n/a",INDEX('Data - SPX'!$J:$J,MATCH($A11,'Data - SPX'!$A:$A,0))),"n/a")</f>
        <v>Higher low (no real retest)</v>
      </c>
      <c r="H11" s="20">
        <f>IFERROR(IF(INDEX('Data - SPX'!$P:$P,MATCH($A11,'Data - SPX'!$A:$A,0))="","n/a",INDEX('Data - SPX'!$P:$P,MATCH($A11,'Data - SPX'!$A:$A,0))),"n/a")</f>
        <v>17.53</v>
      </c>
      <c r="I11" s="20">
        <f>IFERROR(IF(INDEX('Data - DJI'!$P:$P,MATCH($A11,'Data - DJI'!$A:$A,0))="","n/a",INDEX('Data - DJI'!$P:$P,MATCH($A11,'Data - DJI'!$A:$A,0))),"n/a")</f>
        <v>27.16</v>
      </c>
      <c r="J11" s="20">
        <f>IFERROR(IF(INDEX('Data - NASDAQ'!$P:$P,MATCH($A11,'Data - NASDAQ'!$A:$A,0))="","n/a",INDEX('Data - NASDAQ'!$P:$P,MATCH($A11,'Data - NASDAQ'!$A:$A,0))),"n/a")</f>
        <v>13.22</v>
      </c>
      <c r="K11" s="20">
        <f>IFERROR(IF(INDEX('Data - SPX'!$Q:$Q,MATCH($A11,'Data - SPX'!$A:$A,0))="","n/a",INDEX('Data - SPX'!$Q:$Q,MATCH($A11,'Data - SPX'!$A:$A,0))),"n/a")</f>
        <v>1.1200000000000001</v>
      </c>
    </row>
    <row r="12" spans="1:11" ht="57.75" customHeight="1" x14ac:dyDescent="0.25">
      <c r="A12" s="17">
        <v>1990</v>
      </c>
      <c r="B12" s="17" t="str">
        <f>IFERROR(TEXT(INDEX('Data - SPX'!$B:$B,MATCH($A12,'Data - SPX'!$A:$A,0)),"mmm d, yyyy"),TEXT(INDEX('Data - DJI'!$B:$B,MATCH($A12,'Data - DJI'!$A:$A,0)),"mmm d, yyyy"))</f>
        <v>Nov 6, 1990</v>
      </c>
      <c r="C12" s="18" t="s">
        <v>83</v>
      </c>
      <c r="D12" s="19" t="s">
        <v>84</v>
      </c>
      <c r="E12" s="20">
        <f>IFERROR(IF(INDEX('Data - SPX'!$E:$E,MATCH($A12,'Data - SPX'!$A:$A,0))="","n/a",INDEX('Data - SPX'!$E:$E,MATCH($A12,'Data - SPX'!$A:$A,0))),"n/a")</f>
        <v>5.81</v>
      </c>
      <c r="F12" s="20">
        <f>IFERROR(IF(INDEX('Data - SPX'!$I:$I,MATCH($A12,'Data - SPX'!$A:$A,0))="","n/a",INDEX('Data - SPX'!$I:$I,MATCH($A12,'Data - SPX'!$A:$A,0))),"n/a")</f>
        <v>-2.11</v>
      </c>
      <c r="G12" s="21" t="str">
        <f>IFERROR(IF(INDEX('Data - SPX'!$J:$J,MATCH($A12,'Data - SPX'!$A:$A,0))="","n/a",INDEX('Data - SPX'!$J:$J,MATCH($A12,'Data - SPX'!$A:$A,0))),"n/a")</f>
        <v>Higher low (no real retest)</v>
      </c>
      <c r="H12" s="20">
        <f>IFERROR(IF(INDEX('Data - SPX'!$P:$P,MATCH($A12,'Data - SPX'!$A:$A,0))="","n/a",INDEX('Data - SPX'!$P:$P,MATCH($A12,'Data - SPX'!$A:$A,0))),"n/a")</f>
        <v>21.97</v>
      </c>
      <c r="I12" s="20">
        <f>IFERROR(IF(INDEX('Data - DJI'!$P:$P,MATCH($A12,'Data - DJI'!$A:$A,0))="","n/a",INDEX('Data - DJI'!$P:$P,MATCH($A12,'Data - DJI'!$A:$A,0))),"n/a")</f>
        <v>3.9</v>
      </c>
      <c r="J12" s="20">
        <f>IFERROR(IF(INDEX('Data - NASDAQ'!$P:$P,MATCH($A12,'Data - NASDAQ'!$A:$A,0))="","n/a",INDEX('Data - NASDAQ'!$P:$P,MATCH($A12,'Data - NASDAQ'!$A:$A,0))),"n/a")</f>
        <v>9.16</v>
      </c>
      <c r="K12" s="20">
        <f>IFERROR(IF(INDEX('Data - SPX'!$Q:$Q,MATCH($A12,'Data - SPX'!$A:$A,0))="","n/a",INDEX('Data - SPX'!$Q:$Q,MATCH($A12,'Data - SPX'!$A:$A,0))),"n/a")</f>
        <v>25.14</v>
      </c>
    </row>
    <row r="13" spans="1:11" ht="57.75" customHeight="1" x14ac:dyDescent="0.25">
      <c r="A13" s="17">
        <v>1994</v>
      </c>
      <c r="B13" s="17" t="str">
        <f>IFERROR(TEXT(INDEX('Data - SPX'!$B:$B,MATCH($A13,'Data - SPX'!$A:$A,0)),"mmm d, yyyy"),TEXT(INDEX('Data - DJI'!$B:$B,MATCH($A13,'Data - DJI'!$A:$A,0)),"mmm d, yyyy"))</f>
        <v>Nov 8, 1994</v>
      </c>
      <c r="C13" s="22" t="s">
        <v>85</v>
      </c>
      <c r="D13" s="19" t="s">
        <v>86</v>
      </c>
      <c r="E13" s="20">
        <f>IFERROR(IF(INDEX('Data - SPX'!$E:$E,MATCH($A13,'Data - SPX'!$A:$A,0))="","n/a",INDEX('Data - SPX'!$E:$E,MATCH($A13,'Data - SPX'!$A:$A,0))),"n/a")</f>
        <v>3.65</v>
      </c>
      <c r="F13" s="20">
        <f>IFERROR(IF(INDEX('Data - SPX'!$I:$I,MATCH($A13,'Data - SPX'!$A:$A,0))="","n/a",INDEX('Data - SPX'!$I:$I,MATCH($A13,'Data - SPX'!$A:$A,0))),"n/a")</f>
        <v>-4.8899999999999997</v>
      </c>
      <c r="G13" s="21" t="str">
        <f>IFERROR(IF(INDEX('Data - SPX'!$J:$J,MATCH($A13,'Data - SPX'!$A:$A,0))="","n/a",INDEX('Data - SPX'!$J:$J,MATCH($A13,'Data - SPX'!$A:$A,0))),"n/a")</f>
        <v>N (retest ~ old low)</v>
      </c>
      <c r="H13" s="20">
        <f>IFERROR(IF(INDEX('Data - SPX'!$P:$P,MATCH($A13,'Data - SPX'!$A:$A,0))="","n/a",INDEX('Data - SPX'!$P:$P,MATCH($A13,'Data - SPX'!$A:$A,0))),"n/a")</f>
        <v>12.52</v>
      </c>
      <c r="I13" s="20">
        <f>IFERROR(IF(INDEX('Data - DJI'!$P:$P,MATCH($A13,'Data - DJI'!$A:$A,0))="","n/a",INDEX('Data - DJI'!$P:$P,MATCH($A13,'Data - DJI'!$A:$A,0))),"n/a")</f>
        <v>23.04</v>
      </c>
      <c r="J13" s="20">
        <f>IFERROR(IF(INDEX('Data - NASDAQ'!$P:$P,MATCH($A13,'Data - NASDAQ'!$A:$A,0))="","n/a",INDEX('Data - NASDAQ'!$P:$P,MATCH($A13,'Data - NASDAQ'!$A:$A,0))),"n/a")</f>
        <v>29.33</v>
      </c>
      <c r="K13" s="20">
        <f>IFERROR(IF(INDEX('Data - SPX'!$Q:$Q,MATCH($A13,'Data - SPX'!$A:$A,0))="","n/a",INDEX('Data - SPX'!$Q:$Q,MATCH($A13,'Data - SPX'!$A:$A,0))),"n/a")</f>
        <v>27.07</v>
      </c>
    </row>
    <row r="14" spans="1:11" ht="57.75" customHeight="1" x14ac:dyDescent="0.25">
      <c r="A14" s="17">
        <v>1998</v>
      </c>
      <c r="B14" s="17" t="str">
        <f>IFERROR(TEXT(INDEX('Data - SPX'!$B:$B,MATCH($A14,'Data - SPX'!$A:$A,0)),"mmm d, yyyy"),TEXT(INDEX('Data - DJI'!$B:$B,MATCH($A14,'Data - DJI'!$A:$A,0)),"mmm d, yyyy"))</f>
        <v>Nov 3, 1998</v>
      </c>
      <c r="C14" s="23" t="s">
        <v>87</v>
      </c>
      <c r="D14" s="19" t="s">
        <v>88</v>
      </c>
      <c r="E14" s="20">
        <f>IFERROR(IF(INDEX('Data - SPX'!$E:$E,MATCH($A14,'Data - SPX'!$A:$A,0))="","n/a",INDEX('Data - SPX'!$E:$E,MATCH($A14,'Data - SPX'!$A:$A,0))),"n/a")</f>
        <v>20.309999999999999</v>
      </c>
      <c r="F14" s="20">
        <f>IFERROR(IF(INDEX('Data - SPX'!$I:$I,MATCH($A14,'Data - SPX'!$A:$A,0))="","n/a",INDEX('Data - SPX'!$I:$I,MATCH($A14,'Data - SPX'!$A:$A,0))),"n/a")</f>
        <v>-0.12</v>
      </c>
      <c r="G14" s="21" t="str">
        <f>IFERROR(IF(INDEX('Data - SPX'!$J:$J,MATCH($A14,'Data - SPX'!$A:$A,0))="","n/a",INDEX('Data - SPX'!$J:$J,MATCH($A14,'Data - SPX'!$A:$A,0))),"n/a")</f>
        <v>Higher low (no real retest)</v>
      </c>
      <c r="H14" s="20">
        <f>IFERROR(IF(INDEX('Data - SPX'!$P:$P,MATCH($A14,'Data - SPX'!$A:$A,0))="","n/a",INDEX('Data - SPX'!$P:$P,MATCH($A14,'Data - SPX'!$A:$A,0))),"n/a")</f>
        <v>21.95</v>
      </c>
      <c r="I14" s="20">
        <f>IFERROR(IF(INDEX('Data - DJI'!$P:$P,MATCH($A14,'Data - DJI'!$A:$A,0))="","n/a",INDEX('Data - DJI'!$P:$P,MATCH($A14,'Data - DJI'!$A:$A,0))),"n/a")</f>
        <v>12.22</v>
      </c>
      <c r="J14" s="20">
        <f>IFERROR(IF(INDEX('Data - NASDAQ'!$P:$P,MATCH($A14,'Data - NASDAQ'!$A:$A,0))="","n/a",INDEX('Data - NASDAQ'!$P:$P,MATCH($A14,'Data - NASDAQ'!$A:$A,0))),"n/a")</f>
        <v>33.03</v>
      </c>
      <c r="K14" s="20">
        <f>IFERROR(IF(INDEX('Data - SPX'!$Q:$Q,MATCH($A14,'Data - SPX'!$A:$A,0))="","n/a",INDEX('Data - SPX'!$Q:$Q,MATCH($A14,'Data - SPX'!$A:$A,0))),"n/a")</f>
        <v>21.97</v>
      </c>
    </row>
    <row r="15" spans="1:11" ht="57.75" customHeight="1" x14ac:dyDescent="0.25">
      <c r="A15" s="17">
        <v>2002</v>
      </c>
      <c r="B15" s="17" t="str">
        <f>IFERROR(TEXT(INDEX('Data - SPX'!$B:$B,MATCH($A15,'Data - SPX'!$A:$A,0)),"mmm d, yyyy"),TEXT(INDEX('Data - DJI'!$B:$B,MATCH($A15,'Data - DJI'!$A:$A,0)),"mmm d, yyyy"))</f>
        <v>Nov 5, 2002</v>
      </c>
      <c r="C15" s="26" t="s">
        <v>89</v>
      </c>
      <c r="D15" s="19" t="s">
        <v>90</v>
      </c>
      <c r="E15" s="20">
        <f>IFERROR(IF(INDEX('Data - SPX'!$E:$E,MATCH($A15,'Data - SPX'!$A:$A,0))="","n/a",INDEX('Data - SPX'!$E:$E,MATCH($A15,'Data - SPX'!$A:$A,0))),"n/a")</f>
        <v>19.100000000000001</v>
      </c>
      <c r="F15" s="20">
        <f>IFERROR(IF(INDEX('Data - SPX'!$I:$I,MATCH($A15,'Data - SPX'!$A:$A,0))="","n/a",INDEX('Data - SPX'!$I:$I,MATCH($A15,'Data - SPX'!$A:$A,0))),"n/a")</f>
        <v>-5.0199999999999996</v>
      </c>
      <c r="G15" s="21" t="str">
        <f>IFERROR(IF(INDEX('Data - SPX'!$J:$J,MATCH($A15,'Data - SPX'!$A:$A,0))="","n/a",INDEX('Data - SPX'!$J:$J,MATCH($A15,'Data - SPX'!$A:$A,0))),"n/a")</f>
        <v>Higher low (no real retest)</v>
      </c>
      <c r="H15" s="20">
        <f>IFERROR(IF(INDEX('Data - SPX'!$P:$P,MATCH($A15,'Data - SPX'!$A:$A,0))="","n/a",INDEX('Data - SPX'!$P:$P,MATCH($A15,'Data - SPX'!$A:$A,0))),"n/a")</f>
        <v>1.22</v>
      </c>
      <c r="I15" s="20">
        <f>IFERROR(IF(INDEX('Data - DJI'!$P:$P,MATCH($A15,'Data - DJI'!$A:$A,0))="","n/a",INDEX('Data - DJI'!$P:$P,MATCH($A15,'Data - DJI'!$A:$A,0))),"n/a")</f>
        <v>-16.16</v>
      </c>
      <c r="J15" s="20">
        <f>IFERROR(IF(INDEX('Data - NASDAQ'!$P:$P,MATCH($A15,'Data - NASDAQ'!$A:$A,0))="","n/a",INDEX('Data - NASDAQ'!$P:$P,MATCH($A15,'Data - NASDAQ'!$A:$A,0))),"n/a")</f>
        <v>-12.82</v>
      </c>
      <c r="K15" s="20">
        <f>IFERROR(IF(INDEX('Data - SPX'!$Q:$Q,MATCH($A15,'Data - SPX'!$A:$A,0))="","n/a",INDEX('Data - SPX'!$Q:$Q,MATCH($A15,'Data - SPX'!$A:$A,0))),"n/a")</f>
        <v>14.9</v>
      </c>
    </row>
    <row r="16" spans="1:11" ht="57.75" customHeight="1" x14ac:dyDescent="0.25">
      <c r="A16" s="17">
        <v>2006</v>
      </c>
      <c r="B16" s="17" t="str">
        <f>IFERROR(TEXT(INDEX('Data - SPX'!$B:$B,MATCH($A16,'Data - SPX'!$A:$A,0)),"mmm d, yyyy"),TEXT(INDEX('Data - DJI'!$B:$B,MATCH($A16,'Data - DJI'!$A:$A,0)),"mmm d, yyyy"))</f>
        <v>Nov 7, 2006</v>
      </c>
      <c r="C16" s="27" t="s">
        <v>91</v>
      </c>
      <c r="D16" s="19" t="s">
        <v>92</v>
      </c>
      <c r="E16" s="20">
        <f>IFERROR(IF(INDEX('Data - SPX'!$E:$E,MATCH($A16,'Data - SPX'!$A:$A,0))="","n/a",INDEX('Data - SPX'!$E:$E,MATCH($A16,'Data - SPX'!$A:$A,0))),"n/a")</f>
        <v>1.61</v>
      </c>
      <c r="F16" s="20">
        <f>IFERROR(IF(INDEX('Data - SPX'!$I:$I,MATCH($A16,'Data - SPX'!$A:$A,0))="","n/a",INDEX('Data - SPX'!$I:$I,MATCH($A16,'Data - SPX'!$A:$A,0))),"n/a")</f>
        <v>-0.52</v>
      </c>
      <c r="G16" s="21" t="str">
        <f>IFERROR(IF(INDEX('Data - SPX'!$J:$J,MATCH($A16,'Data - SPX'!$A:$A,0))="","n/a",INDEX('Data - SPX'!$J:$J,MATCH($A16,'Data - SPX'!$A:$A,0))),"n/a")</f>
        <v>No pre-election rally</v>
      </c>
      <c r="H16" s="20">
        <f>IFERROR(IF(INDEX('Data - SPX'!$P:$P,MATCH($A16,'Data - SPX'!$A:$A,0))="","n/a",INDEX('Data - SPX'!$P:$P,MATCH($A16,'Data - SPX'!$A:$A,0))),"n/a")</f>
        <v>9.16</v>
      </c>
      <c r="I16" s="20">
        <f>IFERROR(IF(INDEX('Data - DJI'!$P:$P,MATCH($A16,'Data - DJI'!$A:$A,0))="","n/a",INDEX('Data - DJI'!$P:$P,MATCH($A16,'Data - DJI'!$A:$A,0))),"n/a")</f>
        <v>21.83</v>
      </c>
      <c r="J16" s="20">
        <f>IFERROR(IF(INDEX('Data - NASDAQ'!$P:$P,MATCH($A16,'Data - NASDAQ'!$A:$A,0))="","n/a",INDEX('Data - NASDAQ'!$P:$P,MATCH($A16,'Data - NASDAQ'!$A:$A,0))),"n/a")</f>
        <v>24.79</v>
      </c>
      <c r="K16" s="20">
        <f>IFERROR(IF(INDEX('Data - SPX'!$Q:$Q,MATCH($A16,'Data - SPX'!$A:$A,0))="","n/a",INDEX('Data - SPX'!$Q:$Q,MATCH($A16,'Data - SPX'!$A:$A,0))),"n/a")</f>
        <v>6.71</v>
      </c>
    </row>
    <row r="17" spans="1:11" ht="57.75" customHeight="1" x14ac:dyDescent="0.25">
      <c r="A17" s="17">
        <v>2010</v>
      </c>
      <c r="B17" s="17" t="str">
        <f>IFERROR(TEXT(INDEX('Data - SPX'!$B:$B,MATCH($A17,'Data - SPX'!$A:$A,0)),"mmm d, yyyy"),TEXT(INDEX('Data - DJI'!$B:$B,MATCH($A17,'Data - DJI'!$A:$A,0)),"mmm d, yyyy"))</f>
        <v>Nov 2, 2010</v>
      </c>
      <c r="C17" s="23" t="s">
        <v>93</v>
      </c>
      <c r="D17" s="19" t="s">
        <v>94</v>
      </c>
      <c r="E17" s="20">
        <f>IFERROR(IF(INDEX('Data - SPX'!$E:$E,MATCH($A17,'Data - SPX'!$A:$A,0))="","n/a",INDEX('Data - SPX'!$E:$E,MATCH($A17,'Data - SPX'!$A:$A,0))),"n/a")</f>
        <v>2.92</v>
      </c>
      <c r="F17" s="20">
        <f>IFERROR(IF(INDEX('Data - SPX'!$I:$I,MATCH($A17,'Data - SPX'!$A:$A,0))="","n/a",INDEX('Data - SPX'!$I:$I,MATCH($A17,'Data - SPX'!$A:$A,0))),"n/a")</f>
        <v>-1.72</v>
      </c>
      <c r="G17" s="21" t="str">
        <f>IFERROR(IF(INDEX('Data - SPX'!$J:$J,MATCH($A17,'Data - SPX'!$A:$A,0))="","n/a",INDEX('Data - SPX'!$J:$J,MATCH($A17,'Data - SPX'!$A:$A,0))),"n/a")</f>
        <v>N (retest ~ old low)</v>
      </c>
      <c r="H17" s="20">
        <f>IFERROR(IF(INDEX('Data - SPX'!$P:$P,MATCH($A17,'Data - SPX'!$A:$A,0))="","n/a",INDEX('Data - SPX'!$P:$P,MATCH($A17,'Data - SPX'!$A:$A,0))),"n/a")</f>
        <v>14.05</v>
      </c>
      <c r="I17" s="20">
        <f>IFERROR(IF(INDEX('Data - DJI'!$P:$P,MATCH($A17,'Data - DJI'!$A:$A,0))="","n/a",INDEX('Data - DJI'!$P:$P,MATCH($A17,'Data - DJI'!$A:$A,0))),"n/a")</f>
        <v>15.56</v>
      </c>
      <c r="J17" s="20">
        <f>IFERROR(IF(INDEX('Data - NASDAQ'!$P:$P,MATCH($A17,'Data - NASDAQ'!$A:$A,0))="","n/a",INDEX('Data - NASDAQ'!$P:$P,MATCH($A17,'Data - NASDAQ'!$A:$A,0))),"n/a")</f>
        <v>24.1</v>
      </c>
      <c r="K17" s="20">
        <f>IFERROR(IF(INDEX('Data - SPX'!$Q:$Q,MATCH($A17,'Data - SPX'!$A:$A,0))="","n/a",INDEX('Data - SPX'!$Q:$Q,MATCH($A17,'Data - SPX'!$A:$A,0))),"n/a")</f>
        <v>3.71</v>
      </c>
    </row>
    <row r="18" spans="1:11" ht="57.75" customHeight="1" x14ac:dyDescent="0.25">
      <c r="A18" s="17">
        <v>2014</v>
      </c>
      <c r="B18" s="17" t="str">
        <f>IFERROR(TEXT(INDEX('Data - SPX'!$B:$B,MATCH($A18,'Data - SPX'!$A:$A,0)),"mmm d, yyyy"),TEXT(INDEX('Data - DJI'!$B:$B,MATCH($A18,'Data - DJI'!$A:$A,0)),"mmm d, yyyy"))</f>
        <v>Nov 4, 2014</v>
      </c>
      <c r="C18" s="26" t="s">
        <v>95</v>
      </c>
      <c r="D18" s="19" t="s">
        <v>96</v>
      </c>
      <c r="E18" s="20">
        <f>IFERROR(IF(INDEX('Data - SPX'!$E:$E,MATCH($A18,'Data - SPX'!$A:$A,0))="","n/a",INDEX('Data - SPX'!$E:$E,MATCH($A18,'Data - SPX'!$A:$A,0))),"n/a")</f>
        <v>5.38</v>
      </c>
      <c r="F18" s="20">
        <f>IFERROR(IF(INDEX('Data - SPX'!$I:$I,MATCH($A18,'Data - SPX'!$A:$A,0))="","n/a",INDEX('Data - SPX'!$I:$I,MATCH($A18,'Data - SPX'!$A:$A,0))),"n/a")</f>
        <v>-1.97</v>
      </c>
      <c r="G18" s="21" t="str">
        <f>IFERROR(IF(INDEX('Data - SPX'!$J:$J,MATCH($A18,'Data - SPX'!$A:$A,0))="","n/a",INDEX('Data - SPX'!$J:$J,MATCH($A18,'Data - SPX'!$A:$A,0))),"n/a")</f>
        <v>Higher low (no real retest)</v>
      </c>
      <c r="H18" s="20">
        <f>IFERROR(IF(INDEX('Data - SPX'!$P:$P,MATCH($A18,'Data - SPX'!$A:$A,0))="","n/a",INDEX('Data - SPX'!$P:$P,MATCH($A18,'Data - SPX'!$A:$A,0))),"n/a")</f>
        <v>5.09</v>
      </c>
      <c r="I18" s="20">
        <f>IFERROR(IF(INDEX('Data - DJI'!$P:$P,MATCH($A18,'Data - DJI'!$A:$A,0))="","n/a",INDEX('Data - DJI'!$P:$P,MATCH($A18,'Data - DJI'!$A:$A,0))),"n/a")</f>
        <v>13.16</v>
      </c>
      <c r="J18" s="20">
        <f>IFERROR(IF(INDEX('Data - NASDAQ'!$P:$P,MATCH($A18,'Data - NASDAQ'!$A:$A,0))="","n/a",INDEX('Data - NASDAQ'!$P:$P,MATCH($A18,'Data - NASDAQ'!$A:$A,0))),"n/a")</f>
        <v>24.58</v>
      </c>
      <c r="K18" s="20">
        <f>IFERROR(IF(INDEX('Data - SPX'!$Q:$Q,MATCH($A18,'Data - SPX'!$A:$A,0))="","n/a",INDEX('Data - SPX'!$Q:$Q,MATCH($A18,'Data - SPX'!$A:$A,0))),"n/a")</f>
        <v>4.4800000000000004</v>
      </c>
    </row>
    <row r="19" spans="1:11" ht="57.75" customHeight="1" x14ac:dyDescent="0.25">
      <c r="A19" s="17">
        <v>2018</v>
      </c>
      <c r="B19" s="17" t="str">
        <f>IFERROR(TEXT(INDEX('Data - SPX'!$B:$B,MATCH($A19,'Data - SPX'!$A:$A,0)),"mmm d, yyyy"),TEXT(INDEX('Data - DJI'!$B:$B,MATCH($A19,'Data - DJI'!$A:$A,0)),"mmm d, yyyy"))</f>
        <v>Nov 6, 2018</v>
      </c>
      <c r="C19" s="22" t="s">
        <v>97</v>
      </c>
      <c r="D19" s="19" t="s">
        <v>98</v>
      </c>
      <c r="E19" s="20">
        <f>IFERROR(IF(INDEX('Data - SPX'!$E:$E,MATCH($A19,'Data - SPX'!$A:$A,0))="","n/a",INDEX('Data - SPX'!$E:$E,MATCH($A19,'Data - SPX'!$A:$A,0))),"n/a")</f>
        <v>5.83</v>
      </c>
      <c r="F19" s="20">
        <f>IFERROR(IF(INDEX('Data - SPX'!$I:$I,MATCH($A19,'Data - SPX'!$A:$A,0))="","n/a",INDEX('Data - SPX'!$I:$I,MATCH($A19,'Data - SPX'!$A:$A,0))),"n/a")</f>
        <v>-14.84</v>
      </c>
      <c r="G19" s="21" t="str">
        <f>IFERROR(IF(INDEX('Data - SPX'!$J:$J,MATCH($A19,'Data - SPX'!$A:$A,0))="","n/a",INDEX('Data - SPX'!$J:$J,MATCH($A19,'Data - SPX'!$A:$A,0))),"n/a")</f>
        <v>N (retest makes lower low)</v>
      </c>
      <c r="H19" s="20">
        <f>IFERROR(IF(INDEX('Data - SPX'!$P:$P,MATCH($A19,'Data - SPX'!$A:$A,0))="","n/a",INDEX('Data - SPX'!$P:$P,MATCH($A19,'Data - SPX'!$A:$A,0))),"n/a")</f>
        <v>6.42</v>
      </c>
      <c r="I19" s="20">
        <f>IFERROR(IF(INDEX('Data - DJI'!$P:$P,MATCH($A19,'Data - DJI'!$A:$A,0))="","n/a",INDEX('Data - DJI'!$P:$P,MATCH($A19,'Data - DJI'!$A:$A,0))),"n/a")</f>
        <v>0.86</v>
      </c>
      <c r="J19" s="20">
        <f>IFERROR(IF(INDEX('Data - NASDAQ'!$P:$P,MATCH($A19,'Data - NASDAQ'!$A:$A,0))="","n/a",INDEX('Data - NASDAQ'!$P:$P,MATCH($A19,'Data - NASDAQ'!$A:$A,0))),"n/a")</f>
        <v>-1.1000000000000001</v>
      </c>
      <c r="K19" s="20">
        <f>IFERROR(IF(INDEX('Data - SPX'!$Q:$Q,MATCH($A19,'Data - SPX'!$A:$A,0))="","n/a",INDEX('Data - SPX'!$Q:$Q,MATCH($A19,'Data - SPX'!$A:$A,0))),"n/a")</f>
        <v>11.66</v>
      </c>
    </row>
    <row r="20" spans="1:11" ht="57.75" customHeight="1" x14ac:dyDescent="0.25">
      <c r="A20" s="17">
        <v>2022</v>
      </c>
      <c r="B20" s="17" t="str">
        <f>IFERROR(TEXT(INDEX('Data - SPX'!$B:$B,MATCH($A20,'Data - SPX'!$A:$A,0)),"mmm d, yyyy"),TEXT(INDEX('Data - DJI'!$B:$B,MATCH($A20,'Data - DJI'!$A:$A,0)),"mmm d, yyyy"))</f>
        <v>Nov 8, 2022</v>
      </c>
      <c r="C20" s="24" t="s">
        <v>99</v>
      </c>
      <c r="D20" s="19" t="s">
        <v>100</v>
      </c>
      <c r="E20" s="20">
        <f>IFERROR(IF(INDEX('Data - SPX'!$E:$E,MATCH($A20,'Data - SPX'!$A:$A,0))="","n/a",INDEX('Data - SPX'!$E:$E,MATCH($A20,'Data - SPX'!$A:$A,0))),"n/a")</f>
        <v>9.64</v>
      </c>
      <c r="F20" s="20">
        <f>IFERROR(IF(INDEX('Data - SPX'!$I:$I,MATCH($A20,'Data - SPX'!$A:$A,0))="","n/a",INDEX('Data - SPX'!$I:$I,MATCH($A20,'Data - SPX'!$A:$A,0))),"n/a")</f>
        <v>-2.19</v>
      </c>
      <c r="G20" s="21" t="str">
        <f>IFERROR(IF(INDEX('Data - SPX'!$J:$J,MATCH($A20,'Data - SPX'!$A:$A,0))="","n/a",INDEX('Data - SPX'!$J:$J,MATCH($A20,'Data - SPX'!$A:$A,0))),"n/a")</f>
        <v>Higher low (no real retest)</v>
      </c>
      <c r="H20" s="20">
        <f>IFERROR(IF(INDEX('Data - SPX'!$P:$P,MATCH($A20,'Data - SPX'!$A:$A,0))="","n/a",INDEX('Data - SPX'!$P:$P,MATCH($A20,'Data - SPX'!$A:$A,0))),"n/a")</f>
        <v>8.1</v>
      </c>
      <c r="I20" s="20">
        <f>IFERROR(IF(INDEX('Data - DJI'!$P:$P,MATCH($A20,'Data - DJI'!$A:$A,0))="","n/a",INDEX('Data - DJI'!$P:$P,MATCH($A20,'Data - DJI'!$A:$A,0))),"n/a")</f>
        <v>2.86</v>
      </c>
      <c r="J20" s="20">
        <f>IFERROR(IF(INDEX('Data - NASDAQ'!$P:$P,MATCH($A20,'Data - NASDAQ'!$A:$A,0))="","n/a",INDEX('Data - NASDAQ'!$P:$P,MATCH($A20,'Data - NASDAQ'!$A:$A,0))),"n/a")</f>
        <v>7.92</v>
      </c>
      <c r="K20" s="20">
        <f>IFERROR(IF(INDEX('Data - SPX'!$Q:$Q,MATCH($A20,'Data - SPX'!$A:$A,0))="","n/a",INDEX('Data - SPX'!$Q:$Q,MATCH($A20,'Data - SPX'!$A:$A,0))),"n/a")</f>
        <v>14.49</v>
      </c>
    </row>
    <row r="21" spans="1:11" ht="57.75" customHeight="1" x14ac:dyDescent="0.25">
      <c r="A21" s="28">
        <v>2026</v>
      </c>
      <c r="B21" s="28" t="str">
        <f>IFERROR(TEXT(INDEX('Data - SPX'!$B:$B,MATCH($A21,'Data - SPX'!$A:$A,0)),"mmm d, yyyy"),TEXT(INDEX('Data - DJI'!$B:$B,MATCH($A21,'Data - DJI'!$A:$A,0)),"mmm d, yyyy"))</f>
        <v>Nov 3, 2026</v>
      </c>
      <c r="C21" s="29" t="s">
        <v>101</v>
      </c>
      <c r="D21" s="29" t="s">
        <v>102</v>
      </c>
      <c r="E21" s="30" t="str">
        <f>IFERROR(IF(INDEX('Data - SPX'!$E:$E,MATCH($A21,'Data - SPX'!$A:$A,0))="","n/a",INDEX('Data - SPX'!$E:$E,MATCH($A21,'Data - SPX'!$A:$A,0))),"n/a")</f>
        <v>n/a</v>
      </c>
      <c r="F21" s="30" t="str">
        <f>IFERROR(IF(INDEX('Data - SPX'!$I:$I,MATCH($A21,'Data - SPX'!$A:$A,0))="","n/a",INDEX('Data - SPX'!$I:$I,MATCH($A21,'Data - SPX'!$A:$A,0))),"n/a")</f>
        <v>n/a</v>
      </c>
      <c r="G21" s="31" t="str">
        <f>IFERROR(IF(INDEX('Data - SPX'!$J:$J,MATCH($A21,'Data - SPX'!$A:$A,0))="","n/a",INDEX('Data - SPX'!$J:$J,MATCH($A21,'Data - SPX'!$A:$A,0))),"n/a")</f>
        <v>n/a</v>
      </c>
      <c r="H21" s="30" t="str">
        <f>IFERROR(IF(INDEX('Data - SPX'!$P:$P,MATCH($A21,'Data - SPX'!$A:$A,0))="","n/a",INDEX('Data - SPX'!$P:$P,MATCH($A21,'Data - SPX'!$A:$A,0))),"n/a")</f>
        <v>n/a</v>
      </c>
      <c r="I21" s="30" t="str">
        <f>IFERROR(IF(INDEX('Data - DJI'!$P:$P,MATCH($A21,'Data - DJI'!$A:$A,0))="","n/a",INDEX('Data - DJI'!$P:$P,MATCH($A21,'Data - DJI'!$A:$A,0))),"n/a")</f>
        <v>n/a</v>
      </c>
      <c r="J21" s="30" t="str">
        <f>IFERROR(IF(INDEX('Data - NASDAQ'!$P:$P,MATCH($A21,'Data - NASDAQ'!$A:$A,0))="","n/a",INDEX('Data - NASDAQ'!$P:$P,MATCH($A21,'Data - NASDAQ'!$A:$A,0))),"n/a")</f>
        <v>n/a</v>
      </c>
      <c r="K21" s="30" t="str">
        <f>IFERROR(IF(INDEX('Data - SPX'!$Q:$Q,MATCH($A21,'Data - SPX'!$A:$A,0))="","n/a",INDEX('Data - SPX'!$Q:$Q,MATCH($A21,'Data - SPX'!$A:$A,0))),"n/a")</f>
        <v>n/a</v>
      </c>
    </row>
  </sheetData>
  <mergeCells count="2">
    <mergeCell ref="A1:K1"/>
    <mergeCell ref="A2:K2"/>
  </mergeCells>
  <conditionalFormatting sqref="H5:K21">
    <cfRule type="cellIs" dxfId="1" priority="2" operator="greaterThan">
      <formula>0</formula>
    </cfRule>
    <cfRule type="cellIs" dxfId="0" priority="3" operator="lessThan">
      <formula>0</formula>
    </cfRule>
  </conditionalFormatting>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4"/>
  <sheetViews>
    <sheetView showGridLines="0" zoomScaleNormal="100" workbookViewId="0">
      <selection sqref="A1:H1"/>
    </sheetView>
  </sheetViews>
  <sheetFormatPr defaultColWidth="8.7109375" defaultRowHeight="15" x14ac:dyDescent="0.25"/>
  <cols>
    <col min="1" max="1" width="16" customWidth="1"/>
    <col min="2" max="3" width="14" customWidth="1"/>
    <col min="4" max="4" width="16" customWidth="1"/>
    <col min="5" max="8" width="10" customWidth="1"/>
  </cols>
  <sheetData>
    <row r="1" spans="1:8" ht="18.75" x14ac:dyDescent="0.3">
      <c r="A1" s="69" t="s">
        <v>103</v>
      </c>
      <c r="B1" s="69"/>
      <c r="C1" s="69"/>
      <c r="D1" s="69"/>
      <c r="E1" s="69"/>
      <c r="F1" s="69"/>
      <c r="G1" s="69"/>
      <c r="H1" s="69"/>
    </row>
    <row r="2" spans="1:8" ht="27.75" customHeight="1" x14ac:dyDescent="0.25">
      <c r="A2" s="70" t="s">
        <v>104</v>
      </c>
      <c r="B2" s="70"/>
      <c r="C2" s="70"/>
      <c r="D2" s="70"/>
      <c r="E2" s="70"/>
      <c r="F2" s="70"/>
      <c r="G2" s="70"/>
      <c r="H2" s="70"/>
    </row>
    <row r="32" spans="1:8" x14ac:dyDescent="0.25">
      <c r="A32" s="71" t="s">
        <v>105</v>
      </c>
      <c r="B32" s="71"/>
      <c r="C32" s="71"/>
      <c r="D32" s="71"/>
      <c r="E32" s="71"/>
      <c r="F32" s="71"/>
      <c r="G32" s="71"/>
      <c r="H32" s="71"/>
    </row>
    <row r="33" spans="1:8" ht="30" customHeight="1" x14ac:dyDescent="0.25">
      <c r="A33" s="32" t="s">
        <v>106</v>
      </c>
      <c r="B33" s="72" t="s">
        <v>107</v>
      </c>
      <c r="C33" s="72"/>
      <c r="D33" s="73" t="s">
        <v>108</v>
      </c>
      <c r="E33" s="73"/>
      <c r="F33" s="73"/>
      <c r="G33" s="73"/>
      <c r="H33" s="73"/>
    </row>
    <row r="34" spans="1:8" ht="30" customHeight="1" x14ac:dyDescent="0.25">
      <c r="A34" s="32" t="s">
        <v>109</v>
      </c>
      <c r="B34" s="72" t="s">
        <v>110</v>
      </c>
      <c r="C34" s="72"/>
      <c r="D34" s="73" t="s">
        <v>111</v>
      </c>
      <c r="E34" s="73"/>
      <c r="F34" s="73"/>
      <c r="G34" s="73"/>
      <c r="H34" s="73"/>
    </row>
    <row r="35" spans="1:8" ht="30" customHeight="1" x14ac:dyDescent="0.25">
      <c r="A35" s="32" t="s">
        <v>112</v>
      </c>
      <c r="B35" s="72" t="s">
        <v>113</v>
      </c>
      <c r="C35" s="72"/>
      <c r="D35" s="73" t="s">
        <v>114</v>
      </c>
      <c r="E35" s="73"/>
      <c r="F35" s="73"/>
      <c r="G35" s="73"/>
      <c r="H35" s="73"/>
    </row>
    <row r="36" spans="1:8" ht="30" customHeight="1" x14ac:dyDescent="0.25">
      <c r="A36" s="32" t="s">
        <v>115</v>
      </c>
      <c r="B36" s="72" t="s">
        <v>116</v>
      </c>
      <c r="C36" s="72"/>
      <c r="D36" s="73" t="s">
        <v>117</v>
      </c>
      <c r="E36" s="73"/>
      <c r="F36" s="73"/>
      <c r="G36" s="73"/>
      <c r="H36" s="73"/>
    </row>
    <row r="39" spans="1:8" x14ac:dyDescent="0.25">
      <c r="A39" s="71" t="s">
        <v>118</v>
      </c>
      <c r="B39" s="71"/>
      <c r="C39" s="71"/>
      <c r="D39" s="71"/>
      <c r="E39" s="71"/>
      <c r="F39" s="71"/>
      <c r="G39" s="71"/>
      <c r="H39" s="71"/>
    </row>
    <row r="40" spans="1:8" ht="30" customHeight="1" x14ac:dyDescent="0.25">
      <c r="A40" s="16" t="s">
        <v>119</v>
      </c>
      <c r="B40" s="16" t="s">
        <v>120</v>
      </c>
      <c r="C40" s="16" t="s">
        <v>121</v>
      </c>
      <c r="D40" s="16" t="s">
        <v>122</v>
      </c>
    </row>
    <row r="41" spans="1:8" x14ac:dyDescent="0.25">
      <c r="A41" s="34" t="s">
        <v>123</v>
      </c>
      <c r="B41" s="35">
        <v>0.5625</v>
      </c>
      <c r="C41" s="35">
        <v>0.125</v>
      </c>
      <c r="D41" s="35">
        <v>0.15384615384615399</v>
      </c>
    </row>
    <row r="42" spans="1:8" x14ac:dyDescent="0.25">
      <c r="A42" s="34" t="s">
        <v>124</v>
      </c>
      <c r="B42" s="35">
        <v>0.3125</v>
      </c>
      <c r="C42" s="35">
        <v>0.3125</v>
      </c>
      <c r="D42" s="35">
        <v>0.15384615384615399</v>
      </c>
    </row>
    <row r="43" spans="1:8" x14ac:dyDescent="0.25">
      <c r="A43" s="34" t="s">
        <v>125</v>
      </c>
      <c r="B43" s="35">
        <v>6.25E-2</v>
      </c>
      <c r="C43" s="35">
        <v>0.25</v>
      </c>
      <c r="D43" s="35">
        <v>0.230769230769231</v>
      </c>
    </row>
    <row r="44" spans="1:8" x14ac:dyDescent="0.25">
      <c r="A44" s="34" t="s">
        <v>126</v>
      </c>
      <c r="B44" s="35">
        <v>6.25E-2</v>
      </c>
      <c r="C44" s="35">
        <v>0.3125</v>
      </c>
      <c r="D44" s="35">
        <v>0.46153846153846201</v>
      </c>
    </row>
  </sheetData>
  <mergeCells count="12">
    <mergeCell ref="A39:H39"/>
    <mergeCell ref="B34:C34"/>
    <mergeCell ref="D34:H34"/>
    <mergeCell ref="B35:C35"/>
    <mergeCell ref="D35:H35"/>
    <mergeCell ref="B36:C36"/>
    <mergeCell ref="D36:H36"/>
    <mergeCell ref="A1:H1"/>
    <mergeCell ref="A2:H2"/>
    <mergeCell ref="A32:H32"/>
    <mergeCell ref="B33:C33"/>
    <mergeCell ref="D33:H33"/>
  </mergeCells>
  <pageMargins left="0.3" right="0.3" top="0.4" bottom="0.4"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6"/>
  <sheetViews>
    <sheetView showGridLines="0" zoomScaleNormal="100" workbookViewId="0">
      <pane ySplit="4" topLeftCell="A5" activePane="bottomLeft" state="frozen"/>
      <selection pane="bottomLeft"/>
    </sheetView>
  </sheetViews>
  <sheetFormatPr defaultColWidth="8.7109375" defaultRowHeight="15" x14ac:dyDescent="0.25"/>
  <cols>
    <col min="1" max="1" width="42" customWidth="1"/>
    <col min="2" max="4" width="10" customWidth="1"/>
    <col min="5" max="5" width="40" customWidth="1"/>
  </cols>
  <sheetData>
    <row r="1" spans="1:6" ht="18.75" x14ac:dyDescent="0.3">
      <c r="A1" s="69" t="s">
        <v>127</v>
      </c>
      <c r="B1" s="69"/>
      <c r="C1" s="69"/>
      <c r="D1" s="69"/>
      <c r="E1" s="69"/>
      <c r="F1" s="69"/>
    </row>
    <row r="2" spans="1:6" ht="27.75" customHeight="1" x14ac:dyDescent="0.25">
      <c r="A2" s="70" t="s">
        <v>128</v>
      </c>
      <c r="B2" s="70"/>
      <c r="C2" s="70"/>
      <c r="D2" s="70"/>
      <c r="E2" s="70"/>
      <c r="F2" s="70"/>
    </row>
    <row r="4" spans="1:6" ht="30" customHeight="1" x14ac:dyDescent="0.25">
      <c r="A4" s="36" t="s">
        <v>129</v>
      </c>
      <c r="B4" s="36" t="s">
        <v>120</v>
      </c>
      <c r="C4" s="36" t="s">
        <v>121</v>
      </c>
      <c r="D4" s="36" t="s">
        <v>122</v>
      </c>
      <c r="E4" s="36" t="s">
        <v>130</v>
      </c>
    </row>
    <row r="5" spans="1:6" ht="39.75" customHeight="1" x14ac:dyDescent="0.25">
      <c r="A5" s="15" t="s">
        <v>131</v>
      </c>
      <c r="B5" s="37">
        <f>COUNTIF('Data - SPX'!$E$5:$E$20,"&gt;0")/(20-5+1)</f>
        <v>1</v>
      </c>
      <c r="C5" s="37">
        <f>COUNTIF('Data - DJI'!$E$5:$E$20,"&gt;0")/(20-5+1)</f>
        <v>0.8125</v>
      </c>
      <c r="D5" s="37">
        <f>COUNTIF('Data - NASDAQ'!$E$5:$E$17,"&gt;0")/(17-5+1)</f>
        <v>0.61538461538461542</v>
      </c>
      <c r="E5" s="38" t="s">
        <v>132</v>
      </c>
    </row>
    <row r="6" spans="1:6" ht="39.75" customHeight="1" x14ac:dyDescent="0.25">
      <c r="A6" s="15" t="s">
        <v>133</v>
      </c>
      <c r="B6" s="37">
        <f>COUNTIF('Data - SPX'!$E$5:$E$20,"&gt;=5")/(20-5+1)</f>
        <v>0.625</v>
      </c>
      <c r="C6" s="37">
        <f>COUNTIF('Data - DJI'!$E$5:$E$20,"&gt;=5")/(20-5+1)</f>
        <v>0.4375</v>
      </c>
      <c r="D6" s="37">
        <f>COUNTIF('Data - NASDAQ'!$E$5:$E$17,"&gt;=5")/(17-5+1)</f>
        <v>0.53846153846153844</v>
      </c>
      <c r="E6" s="38" t="s">
        <v>134</v>
      </c>
    </row>
    <row r="7" spans="1:6" ht="39.75" customHeight="1" x14ac:dyDescent="0.25">
      <c r="A7" s="15" t="s">
        <v>135</v>
      </c>
      <c r="B7" s="37">
        <f>COUNTIF('Data - SPX'!$K$5:$K$20,"&gt;0")/(20-5+1)</f>
        <v>0.75</v>
      </c>
      <c r="C7" s="37">
        <f>COUNTIF('Data - DJI'!$K$5:$K$20,"&gt;0")/(20-5+1)</f>
        <v>0.5</v>
      </c>
      <c r="D7" s="37">
        <f>COUNTIF('Data - NASDAQ'!$K$5:$K$17,"&gt;0")/(17-5+1)</f>
        <v>0.61538461538461542</v>
      </c>
      <c r="E7" s="38" t="s">
        <v>136</v>
      </c>
    </row>
    <row r="8" spans="1:6" ht="39.75" customHeight="1" x14ac:dyDescent="0.25">
      <c r="A8" s="15" t="s">
        <v>137</v>
      </c>
      <c r="B8" s="37">
        <f>COUNTIF('Data - SPX'!$O$5:$O$20,"&gt;0")/(20-5+1)</f>
        <v>0.875</v>
      </c>
      <c r="C8" s="37">
        <f>COUNTIF('Data - DJI'!$O$5:$O$20,"&gt;0")/(20-5+1)</f>
        <v>0.9375</v>
      </c>
      <c r="D8" s="37">
        <f>COUNTIF('Data - NASDAQ'!$O$5:$O$17,"&gt;0")/(17-5+1)</f>
        <v>0.84615384615384615</v>
      </c>
      <c r="E8" s="38" t="s">
        <v>138</v>
      </c>
    </row>
    <row r="9" spans="1:6" ht="39.75" customHeight="1" x14ac:dyDescent="0.25">
      <c r="A9" s="15" t="s">
        <v>139</v>
      </c>
      <c r="B9" s="37">
        <f>COUNTIF('Data - SPX'!$P$5:$P$20,"&gt;0")/(20-5+1)</f>
        <v>1</v>
      </c>
      <c r="C9" s="37">
        <f>COUNTIF('Data - DJI'!$P$5:$P$20,"&gt;0")/(20-5+1)</f>
        <v>0.9375</v>
      </c>
      <c r="D9" s="37">
        <f>COUNTIF('Data - NASDAQ'!$P$5:$P$17,"&gt;0")/(17-5+1)</f>
        <v>0.76923076923076927</v>
      </c>
      <c r="E9" s="38" t="s">
        <v>140</v>
      </c>
    </row>
    <row r="10" spans="1:6" ht="39.75" customHeight="1" x14ac:dyDescent="0.25">
      <c r="A10" s="15" t="s">
        <v>141</v>
      </c>
      <c r="B10" s="37">
        <f>COUNTIF('Data - SPX'!$Q$5:$Q$20,"&gt;0")/(20-5+1)</f>
        <v>1</v>
      </c>
      <c r="C10" s="37">
        <f>COUNTIF('Data - DJI'!$Q$5:$Q$20,"&gt;0")/(20-5+1)</f>
        <v>0.875</v>
      </c>
      <c r="D10" s="37">
        <f>COUNTIF('Data - NASDAQ'!$Q$5:$Q$17,"&gt;0")/(17-5+1)</f>
        <v>0.84615384615384615</v>
      </c>
      <c r="E10" s="38" t="s">
        <v>142</v>
      </c>
    </row>
    <row r="11" spans="1:6" ht="39.75" customHeight="1" x14ac:dyDescent="0.25">
      <c r="A11" s="15" t="s">
        <v>143</v>
      </c>
      <c r="B11" s="37">
        <f>COUNTIF('Data - SPX'!$P$5:$P$20,"&gt;=10")/(20-5+1)</f>
        <v>0.625</v>
      </c>
      <c r="C11" s="37">
        <f>COUNTIF('Data - DJI'!$P$5:$P$20,"&gt;=10")/(20-5+1)</f>
        <v>0.5625</v>
      </c>
      <c r="D11" s="37">
        <f>COUNTIF('Data - NASDAQ'!$P$5:$P$17,"&gt;=10")/(17-5+1)</f>
        <v>0.61538461538461542</v>
      </c>
      <c r="E11" s="38" t="s">
        <v>144</v>
      </c>
    </row>
    <row r="12" spans="1:6" ht="39.75" customHeight="1" x14ac:dyDescent="0.25">
      <c r="A12" s="15" t="s">
        <v>145</v>
      </c>
      <c r="B12" s="37">
        <f>COUNTIF('Data - SPX'!$J$5:$J$20,"N*")/(20-5+1)</f>
        <v>0.4375</v>
      </c>
      <c r="C12" s="37">
        <f>COUNTIF('Data - DJI'!$J$5:$J$20,"N*")/(20-5+1)</f>
        <v>0.875</v>
      </c>
      <c r="D12" s="37">
        <f>COUNTIF('Data - NASDAQ'!$J$5:$J$17,"N*")/(17-5+1)</f>
        <v>0.84615384615384615</v>
      </c>
      <c r="E12" s="38" t="s">
        <v>146</v>
      </c>
    </row>
    <row r="13" spans="1:6" ht="39.75" customHeight="1" x14ac:dyDescent="0.25">
      <c r="A13" s="15" t="s">
        <v>147</v>
      </c>
      <c r="B13" s="37">
        <f>COUNTIFS('Data - SPX'!$I$5:$I$20,"&lt;&gt;",'Data - SPX'!$I$5:$I$20,"&lt;=-5")/COUNTIF('Data - SPX'!$I$5:$I$20,"&lt;&gt;")</f>
        <v>0.1875</v>
      </c>
      <c r="C13" s="37">
        <f>COUNTIFS('Data - DJI'!$I$5:$I$20,"&lt;&gt;",'Data - DJI'!$I$5:$I$20,"&lt;=-5")/COUNTIF('Data - DJI'!$I$5:$I$20,"&lt;&gt;")</f>
        <v>0.6875</v>
      </c>
      <c r="D13" s="37">
        <f>COUNTIFS('Data - NASDAQ'!$I$5:$I$17,"&lt;&gt;",'Data - NASDAQ'!$I$5:$I$17,"&lt;=-5")/COUNTIF('Data - NASDAQ'!$I$5:$I$17,"&lt;&gt;")</f>
        <v>0.69230769230769229</v>
      </c>
      <c r="E13" s="38" t="s">
        <v>148</v>
      </c>
    </row>
    <row r="14" spans="1:6" ht="39.75" customHeight="1" x14ac:dyDescent="0.25">
      <c r="A14" s="15" t="s">
        <v>149</v>
      </c>
      <c r="B14" s="37">
        <f>COUNTIF('Data - SPX'!$T$5:$T$20,"&lt;0")/(20-5+1)</f>
        <v>1</v>
      </c>
      <c r="C14" s="37">
        <f>COUNTIF('Data - DJI'!$T$5:$T$20,"&lt;0")/(20-5+1)</f>
        <v>1</v>
      </c>
      <c r="D14" s="37">
        <f>COUNTIF('Data - NASDAQ'!$T$5:$T$17,"&lt;0")/(17-5+1)</f>
        <v>1</v>
      </c>
      <c r="E14" s="38" t="s">
        <v>150</v>
      </c>
    </row>
    <row r="16" spans="1:6" ht="69.75" customHeight="1" x14ac:dyDescent="0.25">
      <c r="A16" s="74" t="s">
        <v>151</v>
      </c>
      <c r="B16" s="74"/>
      <c r="C16" s="74"/>
      <c r="D16" s="74"/>
      <c r="E16" s="74"/>
    </row>
  </sheetData>
  <mergeCells count="3">
    <mergeCell ref="A1:F1"/>
    <mergeCell ref="A2:F2"/>
    <mergeCell ref="A16:E16"/>
  </mergeCells>
  <conditionalFormatting sqref="B5:B14">
    <cfRule type="dataBar" priority="2">
      <dataBar>
        <cfvo type="num" val="0"/>
        <cfvo type="num" val="1"/>
        <color rgb="FF2E5AAC"/>
      </dataBar>
      <extLst>
        <ext xmlns:x14="http://schemas.microsoft.com/office/spreadsheetml/2009/9/main" uri="{B025F937-C7B1-47D3-B67F-A62EFF666E3E}">
          <x14:id>{D221F920-187B-4437-A5CA-70DB388DB152}</x14:id>
        </ext>
      </extLst>
    </cfRule>
  </conditionalFormatting>
  <conditionalFormatting sqref="C5:C14">
    <cfRule type="dataBar" priority="3">
      <dataBar>
        <cfvo type="num" val="0"/>
        <cfvo type="num" val="1"/>
        <color rgb="FF2E5AAC"/>
      </dataBar>
      <extLst>
        <ext xmlns:x14="http://schemas.microsoft.com/office/spreadsheetml/2009/9/main" uri="{B025F937-C7B1-47D3-B67F-A62EFF666E3E}">
          <x14:id>{4DB2AE1F-4380-454D-93C7-DE7E70C2DDBF}</x14:id>
        </ext>
      </extLst>
    </cfRule>
  </conditionalFormatting>
  <conditionalFormatting sqref="D5:D14">
    <cfRule type="dataBar" priority="4">
      <dataBar>
        <cfvo type="num" val="0"/>
        <cfvo type="num" val="1"/>
        <color rgb="FF2E5AAC"/>
      </dataBar>
      <extLst>
        <ext xmlns:x14="http://schemas.microsoft.com/office/spreadsheetml/2009/9/main" uri="{B025F937-C7B1-47D3-B67F-A62EFF666E3E}">
          <x14:id>{59CABAA7-DAF0-4BE7-9DFC-7FAB37D4EC4F}</x14:id>
        </ext>
      </extLst>
    </cfRule>
  </conditionalFormatting>
  <pageMargins left="0.3" right="0.3" top="0.4" bottom="0.4"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D221F920-187B-4437-A5CA-70DB388DB152}">
            <x14:dataBar axisPosition="none">
              <x14:cfvo type="num">
                <xm:f>0</xm:f>
              </x14:cfvo>
              <x14:cfvo type="num">
                <xm:f>1</xm:f>
              </x14:cfvo>
              <x14:negativeFillColor rgb="FF2E5AAC"/>
            </x14:dataBar>
          </x14:cfRule>
          <xm:sqref>B5:B14</xm:sqref>
        </x14:conditionalFormatting>
        <x14:conditionalFormatting xmlns:xm="http://schemas.microsoft.com/office/excel/2006/main">
          <x14:cfRule type="dataBar" id="{4DB2AE1F-4380-454D-93C7-DE7E70C2DDBF}">
            <x14:dataBar axisPosition="none">
              <x14:cfvo type="num">
                <xm:f>0</xm:f>
              </x14:cfvo>
              <x14:cfvo type="num">
                <xm:f>1</xm:f>
              </x14:cfvo>
              <x14:negativeFillColor rgb="FF2E5AAC"/>
            </x14:dataBar>
          </x14:cfRule>
          <xm:sqref>C5:C14</xm:sqref>
        </x14:conditionalFormatting>
        <x14:conditionalFormatting xmlns:xm="http://schemas.microsoft.com/office/excel/2006/main">
          <x14:cfRule type="dataBar" id="{59CABAA7-DAF0-4BE7-9DFC-7FAB37D4EC4F}">
            <x14:dataBar axisPosition="none">
              <x14:cfvo type="num">
                <xm:f>0</xm:f>
              </x14:cfvo>
              <x14:cfvo type="num">
                <xm:f>1</xm:f>
              </x14:cfvo>
              <x14:negativeFillColor rgb="FF2E5AAC"/>
            </x14:dataBar>
          </x14:cfRule>
          <xm:sqref>D5:D14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31"/>
  <sheetViews>
    <sheetView showGridLines="0" zoomScaleNormal="100" workbookViewId="0"/>
  </sheetViews>
  <sheetFormatPr defaultColWidth="8.7109375" defaultRowHeight="15" x14ac:dyDescent="0.25"/>
  <cols>
    <col min="1" max="1" width="22" customWidth="1"/>
    <col min="2" max="2" width="14" customWidth="1"/>
    <col min="3" max="3" width="16" customWidth="1"/>
    <col min="4" max="4" width="44" customWidth="1"/>
    <col min="5" max="5" width="30" customWidth="1"/>
    <col min="6" max="6" width="18" customWidth="1"/>
  </cols>
  <sheetData>
    <row r="1" spans="1:6" ht="18.75" x14ac:dyDescent="0.3">
      <c r="A1" s="69" t="s">
        <v>152</v>
      </c>
      <c r="B1" s="69"/>
      <c r="C1" s="69"/>
      <c r="D1" s="69"/>
      <c r="E1" s="69"/>
      <c r="F1" s="69"/>
    </row>
    <row r="2" spans="1:6" ht="27.75" customHeight="1" x14ac:dyDescent="0.25">
      <c r="A2" s="70" t="s">
        <v>153</v>
      </c>
      <c r="B2" s="70"/>
      <c r="C2" s="70"/>
      <c r="D2" s="70"/>
      <c r="E2" s="70"/>
      <c r="F2" s="70"/>
    </row>
    <row r="4" spans="1:6" ht="19.5" customHeight="1" x14ac:dyDescent="0.25">
      <c r="A4" s="75" t="s">
        <v>154</v>
      </c>
      <c r="B4" s="75"/>
      <c r="C4" s="75"/>
      <c r="D4" s="75"/>
      <c r="E4" s="75"/>
      <c r="F4" s="75"/>
    </row>
    <row r="5" spans="1:6" ht="31.5" customHeight="1" x14ac:dyDescent="0.25">
      <c r="A5" s="76" t="s">
        <v>155</v>
      </c>
      <c r="B5" s="76"/>
      <c r="C5" s="76"/>
      <c r="D5" s="76"/>
      <c r="E5" s="76"/>
      <c r="F5" s="76"/>
    </row>
    <row r="6" spans="1:6" ht="30" customHeight="1" x14ac:dyDescent="0.25">
      <c r="A6" s="16" t="s">
        <v>156</v>
      </c>
      <c r="B6" s="16" t="s">
        <v>157</v>
      </c>
      <c r="C6" s="16" t="s">
        <v>158</v>
      </c>
      <c r="D6" s="16" t="s">
        <v>159</v>
      </c>
      <c r="E6" s="16" t="s">
        <v>160</v>
      </c>
      <c r="F6" s="16" t="s">
        <v>161</v>
      </c>
    </row>
    <row r="7" spans="1:6" x14ac:dyDescent="0.25">
      <c r="A7" s="39" t="s">
        <v>120</v>
      </c>
      <c r="B7" s="40">
        <f>COUNT('Data - SPX'!$P$5:$P$20)</f>
        <v>16</v>
      </c>
      <c r="C7" s="41">
        <f>AVERAGE('Data - SPX'!$P$5:$P$20)/100</f>
        <v>0.13769999999999999</v>
      </c>
      <c r="D7" s="41">
        <f>STDEV('Data - SPX'!$P$5:$P$20)/100</f>
        <v>6.9891973788125353E-2</v>
      </c>
      <c r="E7" s="42">
        <f>C7/(D7/SQRT(B7))</f>
        <v>7.8807332251014621</v>
      </c>
      <c r="F7" s="43">
        <f>TDIST(ABS(E7),B7-1,2)</f>
        <v>1.0355601230528857E-6</v>
      </c>
    </row>
    <row r="8" spans="1:6" x14ac:dyDescent="0.25">
      <c r="A8" s="39" t="s">
        <v>121</v>
      </c>
      <c r="B8" s="40">
        <f>COUNT('Data - DJI'!$P$5:$P$20)</f>
        <v>16</v>
      </c>
      <c r="C8" s="41">
        <f>AVERAGE('Data - DJI'!$P$5:$P$20)/100</f>
        <v>0.10828750000000001</v>
      </c>
      <c r="D8" s="41">
        <f>STDEV('Data - DJI'!$P$5:$P$20)/100</f>
        <v>0.11798642789179889</v>
      </c>
      <c r="E8" s="42">
        <f>C8/(D8/SQRT(B8))</f>
        <v>3.6711849637250338</v>
      </c>
      <c r="F8" s="43">
        <f>TDIST(ABS(E8),B8-1,2)</f>
        <v>2.2691610467275372E-3</v>
      </c>
    </row>
    <row r="9" spans="1:6" x14ac:dyDescent="0.25">
      <c r="A9" s="39" t="s">
        <v>122</v>
      </c>
      <c r="B9" s="40">
        <f>COUNT('Data - NASDAQ'!$P$5:$P$17)</f>
        <v>13</v>
      </c>
      <c r="C9" s="41">
        <f>AVERAGE('Data - NASDAQ'!$P$5:$P$17)/100</f>
        <v>0.1425153846153846</v>
      </c>
      <c r="D9" s="41">
        <f>STDEV('Data - NASDAQ'!$P$5:$P$17)/100</f>
        <v>0.14950104707634351</v>
      </c>
      <c r="E9" s="42">
        <f>C9/(D9/SQRT(B9))</f>
        <v>3.437076440747886</v>
      </c>
      <c r="F9" s="43">
        <f>TDIST(ABS(E9),B9-1,2)</f>
        <v>4.920955138188768E-3</v>
      </c>
    </row>
    <row r="10" spans="1:6" ht="27.75" customHeight="1" x14ac:dyDescent="0.25">
      <c r="A10" s="77" t="s">
        <v>162</v>
      </c>
      <c r="B10" s="77"/>
      <c r="C10" s="77"/>
      <c r="D10" s="77"/>
      <c r="E10" s="77"/>
      <c r="F10" s="77"/>
    </row>
    <row r="12" spans="1:6" ht="19.5" customHeight="1" x14ac:dyDescent="0.25">
      <c r="A12" s="75" t="s">
        <v>163</v>
      </c>
      <c r="B12" s="75"/>
      <c r="C12" s="75"/>
      <c r="D12" s="75"/>
      <c r="E12" s="75"/>
      <c r="F12" s="75"/>
    </row>
    <row r="13" spans="1:6" ht="31.5" customHeight="1" x14ac:dyDescent="0.25">
      <c r="A13" s="76" t="s">
        <v>164</v>
      </c>
      <c r="B13" s="76"/>
      <c r="C13" s="76"/>
      <c r="D13" s="76"/>
      <c r="E13" s="76"/>
      <c r="F13" s="76"/>
    </row>
    <row r="14" spans="1:6" ht="30" customHeight="1" x14ac:dyDescent="0.25">
      <c r="A14" s="16" t="s">
        <v>156</v>
      </c>
      <c r="B14" s="16" t="s">
        <v>165</v>
      </c>
      <c r="C14" s="16" t="s">
        <v>157</v>
      </c>
      <c r="D14" s="16" t="s">
        <v>166</v>
      </c>
      <c r="E14" s="16" t="s">
        <v>167</v>
      </c>
      <c r="F14" s="16" t="s">
        <v>168</v>
      </c>
    </row>
    <row r="15" spans="1:6" x14ac:dyDescent="0.25">
      <c r="A15" s="39" t="s">
        <v>120</v>
      </c>
      <c r="B15" s="40">
        <f>COUNTIF('Data - SPX'!$P$5:$P$20,"&gt;0")</f>
        <v>16</v>
      </c>
      <c r="C15" s="40">
        <f>COUNT('Data - SPX'!$P$5:$P$20)</f>
        <v>16</v>
      </c>
      <c r="D15" s="41">
        <f>B15/C15</f>
        <v>1</v>
      </c>
      <c r="E15" s="43">
        <f>1-BINOMDIST(B15-1,C15,0.5,TRUE())</f>
        <v>1.52587890625E-5</v>
      </c>
      <c r="F15" s="40" t="str">
        <f>IF(E15&lt;0.05,"Significant at 5%","Not significant")</f>
        <v>Significant at 5%</v>
      </c>
    </row>
    <row r="16" spans="1:6" x14ac:dyDescent="0.25">
      <c r="A16" s="39" t="s">
        <v>121</v>
      </c>
      <c r="B16" s="40">
        <f>COUNTIF('Data - DJI'!$P$5:$P$20,"&gt;0")</f>
        <v>15</v>
      </c>
      <c r="C16" s="40">
        <f>COUNT('Data - DJI'!$P$5:$P$20)</f>
        <v>16</v>
      </c>
      <c r="D16" s="41">
        <f>B16/C16</f>
        <v>0.9375</v>
      </c>
      <c r="E16" s="43">
        <f>1-BINOMDIST(B16-1,C16,0.5,TRUE())</f>
        <v>2.593994140625E-4</v>
      </c>
      <c r="F16" s="40" t="str">
        <f>IF(E16&lt;0.05,"Significant at 5%","Not significant")</f>
        <v>Significant at 5%</v>
      </c>
    </row>
    <row r="17" spans="1:6" x14ac:dyDescent="0.25">
      <c r="A17" s="39" t="s">
        <v>122</v>
      </c>
      <c r="B17" s="40">
        <f>COUNTIF('Data - NASDAQ'!$P$5:$P$17,"&gt;0")</f>
        <v>10</v>
      </c>
      <c r="C17" s="40">
        <f>COUNT('Data - NASDAQ'!$P$5:$P$17)</f>
        <v>13</v>
      </c>
      <c r="D17" s="41">
        <f>B17/C17</f>
        <v>0.76923076923076927</v>
      </c>
      <c r="E17" s="43">
        <f>1-BINOMDIST(B17-1,C17,0.5,TRUE())</f>
        <v>4.6142578125E-2</v>
      </c>
      <c r="F17" s="40" t="str">
        <f>IF(E17&lt;0.05,"Significant at 5%","Not significant")</f>
        <v>Significant at 5%</v>
      </c>
    </row>
    <row r="19" spans="1:6" ht="19.5" customHeight="1" x14ac:dyDescent="0.25">
      <c r="A19" s="75" t="s">
        <v>169</v>
      </c>
      <c r="B19" s="75"/>
      <c r="C19" s="75"/>
      <c r="D19" s="75"/>
      <c r="E19" s="75"/>
      <c r="F19" s="75"/>
    </row>
    <row r="20" spans="1:6" ht="31.5" customHeight="1" x14ac:dyDescent="0.25">
      <c r="A20" s="76" t="s">
        <v>170</v>
      </c>
      <c r="B20" s="76"/>
      <c r="C20" s="76"/>
      <c r="D20" s="76"/>
      <c r="E20" s="76"/>
      <c r="F20" s="76"/>
    </row>
    <row r="21" spans="1:6" ht="30" customHeight="1" x14ac:dyDescent="0.25">
      <c r="A21" s="16" t="s">
        <v>156</v>
      </c>
      <c r="B21" s="16" t="s">
        <v>171</v>
      </c>
      <c r="C21" s="16" t="s">
        <v>172</v>
      </c>
      <c r="D21" s="16" t="s">
        <v>173</v>
      </c>
    </row>
    <row r="22" spans="1:6" ht="30" customHeight="1" x14ac:dyDescent="0.25">
      <c r="A22" s="44" t="s">
        <v>120</v>
      </c>
      <c r="B22" s="42">
        <f>CORREL('Data - SPX'!$E$5:$E$20,'Data - SPX'!$P$5:$P$20)</f>
        <v>0.17958545312616367</v>
      </c>
      <c r="C22" s="43">
        <f>TDIST(ABS((B22*SQRT(COUNT('Data - SPX'!$E$5:$E$20)-2))/SQRT(1-B22^2)),COUNT('Data - SPX'!$E$5:$E$20)-2,2)</f>
        <v>0.50572104837179743</v>
      </c>
      <c r="D22" s="33" t="str">
        <f>IF(AND(B22&lt;-0.3,C22&lt;0.1),"Mean-reverting: a hotter rally into the election tends to borrow from the 6-month move, not add to it",IF(AND(B22&gt;0.3,C22&lt;0.1),"Momentum: a hotter rally into the election tends to continue","No reliable relationship either way"))</f>
        <v>No reliable relationship either way</v>
      </c>
    </row>
    <row r="23" spans="1:6" ht="30" customHeight="1" x14ac:dyDescent="0.25">
      <c r="A23" s="44" t="s">
        <v>121</v>
      </c>
      <c r="B23" s="42">
        <f>CORREL('Data - DJI'!$E$5:$E$20,'Data - DJI'!$P$5:$P$20)</f>
        <v>-0.71000589345210907</v>
      </c>
      <c r="C23" s="43">
        <f>TDIST(ABS((B23*SQRT(COUNT('Data - DJI'!$E$5:$E$20)-2))/SQRT(1-B23^2)),COUNT('Data - DJI'!$E$5:$E$20)-2,2)</f>
        <v>2.059593137149185E-3</v>
      </c>
      <c r="D23" s="33" t="str">
        <f>IF(AND(B23&lt;-0.3,C23&lt;0.1),"Mean-reverting: a hotter rally into the election tends to borrow from the 6-month move, not add to it",IF(AND(B23&gt;0.3,C23&lt;0.1),"Momentum: a hotter rally into the election tends to continue","No reliable relationship either way"))</f>
        <v>Mean-reverting: a hotter rally into the election tends to borrow from the 6-month move, not add to it</v>
      </c>
    </row>
    <row r="24" spans="1:6" ht="30" customHeight="1" x14ac:dyDescent="0.25">
      <c r="A24" s="44" t="s">
        <v>122</v>
      </c>
      <c r="B24" s="42">
        <f>CORREL('Data - NASDAQ'!$E$5:$E$17,'Data - NASDAQ'!$P$5:$P$17)</f>
        <v>-0.55912082214290182</v>
      </c>
      <c r="C24" s="43">
        <f>TDIST(ABS((B24*SQRT(COUNT('Data - NASDAQ'!$E$5:$E$17)-2))/SQRT(1-B24^2)),COUNT('Data - NASDAQ'!$E$5:$E$17)-2,2)</f>
        <v>4.6974307778416005E-2</v>
      </c>
      <c r="D24" s="33" t="str">
        <f>IF(AND(B24&lt;-0.3,C24&lt;0.1),"Mean-reverting: a hotter rally into the election tends to borrow from the 6-month move, not add to it",IF(AND(B24&gt;0.3,C24&lt;0.1),"Momentum: a hotter rally into the election tends to continue","No reliable relationship either way"))</f>
        <v>Mean-reverting: a hotter rally into the election tends to borrow from the 6-month move, not add to it</v>
      </c>
    </row>
    <row r="26" spans="1:6" ht="19.5" customHeight="1" x14ac:dyDescent="0.25">
      <c r="A26" s="75" t="s">
        <v>174</v>
      </c>
      <c r="B26" s="75"/>
      <c r="C26" s="75"/>
      <c r="D26" s="75"/>
      <c r="E26" s="75"/>
      <c r="F26" s="75"/>
    </row>
    <row r="27" spans="1:6" ht="31.5" customHeight="1" x14ac:dyDescent="0.25">
      <c r="A27" s="76" t="s">
        <v>175</v>
      </c>
      <c r="B27" s="76"/>
      <c r="C27" s="76"/>
      <c r="D27" s="76"/>
      <c r="E27" s="76"/>
      <c r="F27" s="76"/>
    </row>
    <row r="28" spans="1:6" ht="30" customHeight="1" x14ac:dyDescent="0.25">
      <c r="A28" s="16" t="s">
        <v>156</v>
      </c>
      <c r="B28" s="16" t="s">
        <v>171</v>
      </c>
      <c r="C28" s="16" t="s">
        <v>172</v>
      </c>
      <c r="D28" s="16" t="s">
        <v>173</v>
      </c>
    </row>
    <row r="29" spans="1:6" ht="30" customHeight="1" x14ac:dyDescent="0.25">
      <c r="A29" s="44" t="s">
        <v>120</v>
      </c>
      <c r="B29" s="42">
        <f>IFERROR(CORREL('Data - SPX'!$I$5:$I$20,'Data - SPX'!$P$5:$P$20),"n/a")</f>
        <v>0.1096528463328791</v>
      </c>
      <c r="C29" s="43">
        <f>IFERROR(TDIST(ABS((B29*SQRT(COUNT('Data - SPX'!$I$5:$I$20)-2))/SQRT(1-B29^2)),COUNT('Data - SPX'!$I$5:$I$20)-2,2),"n/a")</f>
        <v>0.68602524376653218</v>
      </c>
      <c r="D29" s="33" t="str">
        <f>IFERROR(IF(AND(B29&gt;0.3,C29&lt;0.1),"Shakeout hypothesis supported: deeper post-election dips tend to precede bigger 6-month rebounds",IF(AND(B29&lt;-0.3,C29&lt;0.1),"Opposite: deeper dips tend to precede weaker rebounds","No reliable relationship either way")),"n/a")</f>
        <v>No reliable relationship either way</v>
      </c>
    </row>
    <row r="30" spans="1:6" ht="30" customHeight="1" x14ac:dyDescent="0.25">
      <c r="A30" s="44" t="s">
        <v>121</v>
      </c>
      <c r="B30" s="42">
        <f>IFERROR(CORREL('Data - DJI'!$I$5:$I$20,'Data - DJI'!$P$5:$P$20),"n/a")</f>
        <v>0.68376216173284898</v>
      </c>
      <c r="C30" s="43">
        <f>IFERROR(TDIST(ABS((B30*SQRT(COUNT('Data - DJI'!$I$5:$I$20)-2))/SQRT(1-B30^2)),COUNT('Data - DJI'!$I$5:$I$20)-2,2),"n/a")</f>
        <v>3.4927528929127923E-3</v>
      </c>
      <c r="D30" s="33" t="str">
        <f>IFERROR(IF(AND(B30&gt;0.3,C30&lt;0.1),"Shakeout hypothesis supported: deeper post-election dips tend to precede bigger 6-month rebounds",IF(AND(B30&lt;-0.3,C30&lt;0.1),"Opposite: deeper dips tend to precede weaker rebounds","No reliable relationship either way")),"n/a")</f>
        <v>Shakeout hypothesis supported: deeper post-election dips tend to precede bigger 6-month rebounds</v>
      </c>
    </row>
    <row r="31" spans="1:6" ht="30" customHeight="1" x14ac:dyDescent="0.25">
      <c r="A31" s="44" t="s">
        <v>122</v>
      </c>
      <c r="B31" s="42">
        <f>IFERROR(CORREL('Data - NASDAQ'!$I$5:$I$17,'Data - NASDAQ'!$P$5:$P$17),"n/a")</f>
        <v>0.7896552471933258</v>
      </c>
      <c r="C31" s="43">
        <f>IFERROR(TDIST(ABS((B31*SQRT(COUNT('Data - NASDAQ'!$I$5:$I$17)-2))/SQRT(1-B31^2)),COUNT('Data - NASDAQ'!$I$5:$I$17)-2,2),"n/a")</f>
        <v>1.3238201807451331E-3</v>
      </c>
      <c r="D31" s="33" t="str">
        <f>IFERROR(IF(AND(B31&gt;0.3,C31&lt;0.1),"Shakeout hypothesis supported: deeper post-election dips tend to precede bigger 6-month rebounds",IF(AND(B31&lt;-0.3,C31&lt;0.1),"Opposite: deeper dips tend to precede weaker rebounds","No reliable relationship either way")),"n/a")</f>
        <v>Shakeout hypothesis supported: deeper post-election dips tend to precede bigger 6-month rebounds</v>
      </c>
    </row>
  </sheetData>
  <mergeCells count="11">
    <mergeCell ref="A27:F27"/>
    <mergeCell ref="A12:F12"/>
    <mergeCell ref="A13:F13"/>
    <mergeCell ref="A19:F19"/>
    <mergeCell ref="A20:F20"/>
    <mergeCell ref="A26:F26"/>
    <mergeCell ref="A1:F1"/>
    <mergeCell ref="A2:F2"/>
    <mergeCell ref="A4:F4"/>
    <mergeCell ref="A5:F5"/>
    <mergeCell ref="A10:F10"/>
  </mergeCells>
  <pageMargins left="0.3" right="0.3" top="0.4" bottom="0.4"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30"/>
  <sheetViews>
    <sheetView showGridLines="0" zoomScaleNormal="100" workbookViewId="0">
      <selection sqref="A1:G1"/>
    </sheetView>
  </sheetViews>
  <sheetFormatPr defaultColWidth="8.7109375" defaultRowHeight="15" x14ac:dyDescent="0.25"/>
  <cols>
    <col min="1" max="1" width="18" customWidth="1"/>
    <col min="2" max="7" width="10" customWidth="1"/>
  </cols>
  <sheetData>
    <row r="1" spans="1:7" ht="18.75" x14ac:dyDescent="0.3">
      <c r="A1" s="69" t="s">
        <v>176</v>
      </c>
      <c r="B1" s="69"/>
      <c r="C1" s="69"/>
      <c r="D1" s="69"/>
      <c r="E1" s="69"/>
      <c r="F1" s="69"/>
      <c r="G1" s="69"/>
    </row>
    <row r="2" spans="1:7" ht="27.75" customHeight="1" x14ac:dyDescent="0.25">
      <c r="A2" s="70" t="s">
        <v>177</v>
      </c>
      <c r="B2" s="70"/>
      <c r="C2" s="70"/>
      <c r="D2" s="70"/>
      <c r="E2" s="70"/>
      <c r="F2" s="70"/>
      <c r="G2" s="70"/>
    </row>
    <row r="4" spans="1:7" ht="15.75" x14ac:dyDescent="0.25">
      <c r="A4" s="75" t="s">
        <v>120</v>
      </c>
      <c r="B4" s="75"/>
      <c r="C4" s="75"/>
      <c r="D4" s="75"/>
      <c r="E4" s="75"/>
      <c r="F4" s="75"/>
      <c r="G4" s="75"/>
    </row>
    <row r="5" spans="1:7" ht="30" customHeight="1" x14ac:dyDescent="0.25">
      <c r="A5" s="16" t="s">
        <v>178</v>
      </c>
      <c r="B5" s="16" t="s">
        <v>179</v>
      </c>
      <c r="C5" s="16" t="s">
        <v>180</v>
      </c>
      <c r="D5" s="16" t="s">
        <v>181</v>
      </c>
      <c r="E5" s="16" t="s">
        <v>182</v>
      </c>
      <c r="F5" s="16" t="s">
        <v>183</v>
      </c>
    </row>
    <row r="6" spans="1:7" x14ac:dyDescent="0.25">
      <c r="A6" s="45" t="s">
        <v>184</v>
      </c>
      <c r="B6" s="46">
        <v>16</v>
      </c>
      <c r="C6" s="47">
        <v>1.4E-2</v>
      </c>
      <c r="D6" s="47">
        <v>6.9000000000000006E-2</v>
      </c>
      <c r="E6" s="47">
        <v>0.13800000000000001</v>
      </c>
      <c r="F6" s="47">
        <v>0.14199999999999999</v>
      </c>
    </row>
    <row r="7" spans="1:7" x14ac:dyDescent="0.25">
      <c r="A7" s="48" t="s">
        <v>185</v>
      </c>
      <c r="B7" s="40">
        <v>17</v>
      </c>
      <c r="C7" s="49">
        <v>8.9999999999999993E-3</v>
      </c>
      <c r="D7" s="49">
        <v>0</v>
      </c>
      <c r="E7" s="49">
        <v>1.4E-2</v>
      </c>
      <c r="F7" s="49">
        <v>0</v>
      </c>
    </row>
    <row r="8" spans="1:7" x14ac:dyDescent="0.25">
      <c r="A8" s="48" t="s">
        <v>186</v>
      </c>
      <c r="B8" s="40">
        <v>17</v>
      </c>
      <c r="C8" s="49">
        <v>8.9999999999999993E-3</v>
      </c>
      <c r="D8" s="49">
        <v>4.4999999999999998E-2</v>
      </c>
      <c r="E8" s="49">
        <v>5.2999999999999999E-2</v>
      </c>
      <c r="F8" s="49">
        <v>0.1</v>
      </c>
    </row>
    <row r="9" spans="1:7" x14ac:dyDescent="0.25">
      <c r="A9" s="48" t="s">
        <v>187</v>
      </c>
      <c r="B9" s="40">
        <v>17</v>
      </c>
      <c r="C9" s="49">
        <v>0.01</v>
      </c>
      <c r="D9" s="49">
        <v>3.4000000000000002E-2</v>
      </c>
      <c r="E9" s="49">
        <v>5.1999999999999998E-2</v>
      </c>
      <c r="F9" s="49">
        <v>0.105</v>
      </c>
    </row>
    <row r="11" spans="1:7" ht="15.75" x14ac:dyDescent="0.25">
      <c r="A11" s="75" t="s">
        <v>121</v>
      </c>
      <c r="B11" s="75"/>
      <c r="C11" s="75"/>
      <c r="D11" s="75"/>
      <c r="E11" s="75"/>
      <c r="F11" s="75"/>
      <c r="G11" s="75"/>
    </row>
    <row r="12" spans="1:7" ht="30" customHeight="1" x14ac:dyDescent="0.25">
      <c r="A12" s="16" t="s">
        <v>178</v>
      </c>
      <c r="B12" s="16" t="s">
        <v>179</v>
      </c>
      <c r="C12" s="16" t="s">
        <v>180</v>
      </c>
      <c r="D12" s="16" t="s">
        <v>181</v>
      </c>
      <c r="E12" s="16" t="s">
        <v>182</v>
      </c>
      <c r="F12" s="16" t="s">
        <v>183</v>
      </c>
    </row>
    <row r="13" spans="1:7" x14ac:dyDescent="0.25">
      <c r="A13" s="45" t="s">
        <v>184</v>
      </c>
      <c r="B13" s="46">
        <v>20</v>
      </c>
      <c r="C13" s="47">
        <v>2E-3</v>
      </c>
      <c r="D13" s="47">
        <v>0.14699999999999999</v>
      </c>
      <c r="E13" s="47">
        <v>0.14199999999999999</v>
      </c>
      <c r="F13" s="47">
        <v>0.15</v>
      </c>
    </row>
    <row r="14" spans="1:7" x14ac:dyDescent="0.25">
      <c r="A14" s="48" t="s">
        <v>185</v>
      </c>
      <c r="B14" s="40">
        <v>20</v>
      </c>
      <c r="C14" s="49">
        <v>8.9999999999999993E-3</v>
      </c>
      <c r="D14" s="49">
        <v>9.2999999999999999E-2</v>
      </c>
      <c r="E14" s="49">
        <v>8.4000000000000005E-2</v>
      </c>
      <c r="F14" s="49">
        <v>8.7999999999999995E-2</v>
      </c>
    </row>
    <row r="15" spans="1:7" x14ac:dyDescent="0.25">
      <c r="A15" s="48" t="s">
        <v>186</v>
      </c>
      <c r="B15" s="40">
        <v>19</v>
      </c>
      <c r="C15" s="49">
        <v>-6.0000000000000001E-3</v>
      </c>
      <c r="D15" s="49">
        <v>7.1999999999999995E-2</v>
      </c>
      <c r="E15" s="49">
        <v>7.3999999999999996E-2</v>
      </c>
      <c r="F15" s="49">
        <v>7.1999999999999995E-2</v>
      </c>
    </row>
    <row r="16" spans="1:7" x14ac:dyDescent="0.25">
      <c r="A16" s="48" t="s">
        <v>187</v>
      </c>
      <c r="B16" s="40">
        <v>19</v>
      </c>
      <c r="C16" s="49">
        <v>-7.0000000000000001E-3</v>
      </c>
      <c r="D16" s="49">
        <v>9.4E-2</v>
      </c>
      <c r="E16" s="49">
        <v>8.4000000000000005E-2</v>
      </c>
      <c r="F16" s="49">
        <v>8.8999999999999996E-2</v>
      </c>
    </row>
    <row r="18" spans="1:7" ht="15.75" x14ac:dyDescent="0.25">
      <c r="A18" s="75" t="s">
        <v>122</v>
      </c>
      <c r="B18" s="75"/>
      <c r="C18" s="75"/>
      <c r="D18" s="75"/>
      <c r="E18" s="75"/>
      <c r="F18" s="75"/>
      <c r="G18" s="75"/>
    </row>
    <row r="19" spans="1:7" ht="30" customHeight="1" x14ac:dyDescent="0.25">
      <c r="A19" s="16" t="s">
        <v>178</v>
      </c>
      <c r="B19" s="16" t="s">
        <v>179</v>
      </c>
      <c r="C19" s="16" t="s">
        <v>180</v>
      </c>
      <c r="D19" s="16" t="s">
        <v>181</v>
      </c>
      <c r="E19" s="16" t="s">
        <v>182</v>
      </c>
      <c r="F19" s="16" t="s">
        <v>183</v>
      </c>
    </row>
    <row r="20" spans="1:7" x14ac:dyDescent="0.25">
      <c r="A20" s="45" t="s">
        <v>184</v>
      </c>
      <c r="B20" s="46">
        <v>14</v>
      </c>
      <c r="C20" s="47">
        <v>1.0999999999999999E-2</v>
      </c>
      <c r="D20" s="47">
        <v>0.152</v>
      </c>
      <c r="E20" s="47">
        <v>0.14299999999999999</v>
      </c>
      <c r="F20" s="47">
        <v>0.154</v>
      </c>
    </row>
    <row r="21" spans="1:7" x14ac:dyDescent="0.25">
      <c r="A21" s="48" t="s">
        <v>185</v>
      </c>
      <c r="B21" s="40">
        <v>14</v>
      </c>
      <c r="C21" s="49">
        <v>1.4999999999999999E-2</v>
      </c>
      <c r="D21" s="49">
        <v>0.16500000000000001</v>
      </c>
      <c r="E21" s="49">
        <v>0.153</v>
      </c>
      <c r="F21" s="49">
        <v>0.151</v>
      </c>
    </row>
    <row r="22" spans="1:7" x14ac:dyDescent="0.25">
      <c r="A22" s="48" t="s">
        <v>186</v>
      </c>
      <c r="B22" s="40">
        <v>14</v>
      </c>
      <c r="C22" s="49">
        <v>-4.0000000000000001E-3</v>
      </c>
      <c r="D22" s="49">
        <v>0.152</v>
      </c>
      <c r="E22" s="49">
        <v>0.15</v>
      </c>
      <c r="F22" s="49">
        <v>0.16700000000000001</v>
      </c>
    </row>
    <row r="23" spans="1:7" x14ac:dyDescent="0.25">
      <c r="A23" s="48" t="s">
        <v>187</v>
      </c>
      <c r="B23" s="40">
        <v>14</v>
      </c>
      <c r="C23" s="49">
        <v>-3.0000000000000001E-3</v>
      </c>
      <c r="D23" s="49">
        <v>0.105</v>
      </c>
      <c r="E23" s="49">
        <v>8.5000000000000006E-2</v>
      </c>
      <c r="F23" s="49">
        <v>8.5000000000000006E-2</v>
      </c>
    </row>
    <row r="25" spans="1:7" x14ac:dyDescent="0.25">
      <c r="A25" s="50" t="s">
        <v>188</v>
      </c>
    </row>
    <row r="26" spans="1:7" ht="30" customHeight="1" x14ac:dyDescent="0.25">
      <c r="A26" s="16" t="s">
        <v>178</v>
      </c>
      <c r="B26" s="16" t="s">
        <v>120</v>
      </c>
      <c r="C26" s="16" t="s">
        <v>121</v>
      </c>
      <c r="D26" s="16" t="s">
        <v>122</v>
      </c>
    </row>
    <row r="27" spans="1:7" x14ac:dyDescent="0.25">
      <c r="A27" s="34" t="s">
        <v>184</v>
      </c>
      <c r="B27" s="51">
        <f>F6</f>
        <v>0.14199999999999999</v>
      </c>
      <c r="C27" s="51">
        <f>F13</f>
        <v>0.15</v>
      </c>
      <c r="D27" s="51">
        <f>F20</f>
        <v>0.154</v>
      </c>
    </row>
    <row r="28" spans="1:7" x14ac:dyDescent="0.25">
      <c r="A28" s="34" t="s">
        <v>185</v>
      </c>
      <c r="B28" s="51">
        <f>F7</f>
        <v>0</v>
      </c>
      <c r="C28" s="51">
        <f>F14</f>
        <v>8.7999999999999995E-2</v>
      </c>
      <c r="D28" s="51">
        <f>F21</f>
        <v>0.151</v>
      </c>
    </row>
    <row r="29" spans="1:7" x14ac:dyDescent="0.25">
      <c r="A29" s="34" t="s">
        <v>186</v>
      </c>
      <c r="B29" s="51">
        <f>F8</f>
        <v>0.1</v>
      </c>
      <c r="C29" s="51">
        <f>F15</f>
        <v>7.1999999999999995E-2</v>
      </c>
      <c r="D29" s="51">
        <f>F22</f>
        <v>0.16700000000000001</v>
      </c>
    </row>
    <row r="30" spans="1:7" x14ac:dyDescent="0.25">
      <c r="A30" s="34" t="s">
        <v>187</v>
      </c>
      <c r="B30" s="51">
        <f>F9</f>
        <v>0.105</v>
      </c>
      <c r="C30" s="51">
        <f>F16</f>
        <v>8.8999999999999996E-2</v>
      </c>
      <c r="D30" s="51">
        <f>F23</f>
        <v>8.5000000000000006E-2</v>
      </c>
    </row>
  </sheetData>
  <mergeCells count="5">
    <mergeCell ref="A1:G1"/>
    <mergeCell ref="A2:G2"/>
    <mergeCell ref="A4:G4"/>
    <mergeCell ref="A11:G11"/>
    <mergeCell ref="A18:G18"/>
  </mergeCells>
  <pageMargins left="0.3" right="0.3" top="0.4" bottom="0.4" header="0.511811023622047" footer="0.511811023622047"/>
  <pageSetup fitToHeight="0"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
  <sheetViews>
    <sheetView showGridLines="0" zoomScaleNormal="100" workbookViewId="0">
      <pane ySplit="4" topLeftCell="A5" activePane="bottomLeft" state="frozen"/>
      <selection pane="bottomLeft"/>
    </sheetView>
  </sheetViews>
  <sheetFormatPr defaultColWidth="8.7109375" defaultRowHeight="15" x14ac:dyDescent="0.25"/>
  <cols>
    <col min="1" max="1" width="7" customWidth="1"/>
    <col min="2" max="9" width="13" customWidth="1"/>
    <col min="10" max="10" width="24" customWidth="1"/>
    <col min="11" max="21" width="13" customWidth="1"/>
  </cols>
  <sheetData>
    <row r="1" spans="1:21" ht="18.75" x14ac:dyDescent="0.3">
      <c r="A1" s="69" t="s">
        <v>189</v>
      </c>
      <c r="B1" s="69"/>
      <c r="C1" s="69"/>
      <c r="D1" s="69"/>
      <c r="E1" s="69"/>
      <c r="F1" s="69"/>
      <c r="G1" s="69"/>
      <c r="H1" s="69"/>
      <c r="I1" s="69"/>
      <c r="J1" s="69"/>
      <c r="K1" s="69"/>
      <c r="L1" s="69"/>
      <c r="M1" s="69"/>
      <c r="N1" s="69"/>
      <c r="O1" s="69"/>
      <c r="P1" s="69"/>
      <c r="Q1" s="69"/>
      <c r="R1" s="69"/>
      <c r="S1" s="69"/>
      <c r="T1" s="69"/>
      <c r="U1" s="69"/>
    </row>
    <row r="2" spans="1:21" x14ac:dyDescent="0.25">
      <c r="A2" s="78" t="s">
        <v>190</v>
      </c>
      <c r="B2" s="78"/>
      <c r="C2" s="78"/>
      <c r="D2" s="78"/>
      <c r="E2" s="78"/>
      <c r="F2" s="78"/>
      <c r="G2" s="78"/>
      <c r="H2" s="78"/>
      <c r="I2" s="78"/>
      <c r="J2" s="78"/>
      <c r="K2" s="78"/>
      <c r="L2" s="78"/>
      <c r="M2" s="78"/>
      <c r="N2" s="78"/>
      <c r="O2" s="78"/>
      <c r="P2" s="78"/>
      <c r="Q2" s="78"/>
      <c r="R2" s="78"/>
      <c r="S2" s="78"/>
      <c r="T2" s="78"/>
      <c r="U2" s="78"/>
    </row>
    <row r="4" spans="1:21" ht="30" customHeight="1" x14ac:dyDescent="0.25">
      <c r="A4" s="36" t="s">
        <v>58</v>
      </c>
      <c r="B4" s="36" t="s">
        <v>191</v>
      </c>
      <c r="C4" s="36" t="s">
        <v>192</v>
      </c>
      <c r="D4" s="36" t="s">
        <v>193</v>
      </c>
      <c r="E4" s="36" t="s">
        <v>194</v>
      </c>
      <c r="F4" s="36" t="s">
        <v>195</v>
      </c>
      <c r="G4" s="36" t="s">
        <v>196</v>
      </c>
      <c r="H4" s="36" t="s">
        <v>197</v>
      </c>
      <c r="I4" s="36" t="s">
        <v>198</v>
      </c>
      <c r="J4" s="36" t="s">
        <v>119</v>
      </c>
      <c r="K4" s="36" t="s">
        <v>199</v>
      </c>
      <c r="L4" s="36" t="s">
        <v>200</v>
      </c>
      <c r="M4" s="36" t="s">
        <v>201</v>
      </c>
      <c r="N4" s="36" t="s">
        <v>202</v>
      </c>
      <c r="O4" s="36" t="s">
        <v>203</v>
      </c>
      <c r="P4" s="36" t="s">
        <v>204</v>
      </c>
      <c r="Q4" s="36" t="s">
        <v>205</v>
      </c>
      <c r="R4" s="36" t="s">
        <v>206</v>
      </c>
      <c r="S4" s="36" t="s">
        <v>207</v>
      </c>
      <c r="T4" s="36" t="s">
        <v>208</v>
      </c>
      <c r="U4" s="36" t="s">
        <v>209</v>
      </c>
    </row>
    <row r="5" spans="1:21" x14ac:dyDescent="0.25">
      <c r="A5" s="52">
        <v>1962</v>
      </c>
      <c r="B5" s="52" t="s">
        <v>210</v>
      </c>
      <c r="C5" s="52" t="s">
        <v>211</v>
      </c>
      <c r="D5" s="53">
        <v>52.55</v>
      </c>
      <c r="E5" s="54">
        <v>11.04</v>
      </c>
      <c r="F5" s="52" t="s">
        <v>212</v>
      </c>
      <c r="G5" s="54">
        <v>-0.6</v>
      </c>
      <c r="H5" s="52" t="s">
        <v>213</v>
      </c>
      <c r="I5" s="54">
        <v>-1.01</v>
      </c>
      <c r="J5" s="55" t="s">
        <v>123</v>
      </c>
      <c r="K5" s="54">
        <v>0.62</v>
      </c>
      <c r="L5" s="54">
        <v>1.9</v>
      </c>
      <c r="M5" s="54">
        <v>3.6</v>
      </c>
      <c r="N5" s="54">
        <v>7.85</v>
      </c>
      <c r="O5" s="54">
        <v>13.8</v>
      </c>
      <c r="P5" s="54">
        <v>19.16</v>
      </c>
      <c r="Q5" s="54">
        <v>24.78</v>
      </c>
      <c r="R5" s="54">
        <v>32.31</v>
      </c>
      <c r="S5" s="54">
        <v>20.38</v>
      </c>
      <c r="T5" s="54">
        <v>-1.01</v>
      </c>
      <c r="U5" s="54">
        <v>6.8</v>
      </c>
    </row>
    <row r="6" spans="1:21" x14ac:dyDescent="0.25">
      <c r="A6" s="52">
        <v>1966</v>
      </c>
      <c r="B6" s="52" t="s">
        <v>214</v>
      </c>
      <c r="C6" s="52" t="s">
        <v>215</v>
      </c>
      <c r="D6" s="53">
        <v>72.28</v>
      </c>
      <c r="E6" s="54">
        <v>11.69</v>
      </c>
      <c r="F6" s="52" t="s">
        <v>216</v>
      </c>
      <c r="G6" s="54">
        <v>-1.1599999999999999</v>
      </c>
      <c r="H6" s="52" t="s">
        <v>217</v>
      </c>
      <c r="I6" s="54">
        <v>-2.2799999999999998</v>
      </c>
      <c r="J6" s="55" t="s">
        <v>123</v>
      </c>
      <c r="K6" s="54">
        <v>0.81</v>
      </c>
      <c r="L6" s="54">
        <v>1.19</v>
      </c>
      <c r="M6" s="54">
        <v>-1.31</v>
      </c>
      <c r="N6" s="54">
        <v>1.64</v>
      </c>
      <c r="O6" s="54">
        <v>8.66</v>
      </c>
      <c r="P6" s="54">
        <v>17.16</v>
      </c>
      <c r="Q6" s="54">
        <v>12.89</v>
      </c>
      <c r="R6" s="54">
        <v>30.85</v>
      </c>
      <c r="S6" s="54">
        <v>19.89</v>
      </c>
      <c r="T6" s="54">
        <v>-2.2799999999999998</v>
      </c>
      <c r="U6" s="54">
        <v>-1.61</v>
      </c>
    </row>
    <row r="7" spans="1:21" x14ac:dyDescent="0.25">
      <c r="A7" s="52">
        <v>1970</v>
      </c>
      <c r="B7" s="52" t="s">
        <v>218</v>
      </c>
      <c r="C7" s="52" t="s">
        <v>219</v>
      </c>
      <c r="D7" s="53">
        <v>80.819999999999993</v>
      </c>
      <c r="E7" s="54">
        <v>4.21</v>
      </c>
      <c r="F7" s="52" t="s">
        <v>220</v>
      </c>
      <c r="G7" s="54">
        <v>-4.0199999999999996</v>
      </c>
      <c r="H7" s="52" t="s">
        <v>221</v>
      </c>
      <c r="I7" s="54">
        <v>-2.36</v>
      </c>
      <c r="J7" s="55" t="s">
        <v>124</v>
      </c>
      <c r="K7" s="54">
        <v>0.2</v>
      </c>
      <c r="L7" s="54">
        <v>0.68</v>
      </c>
      <c r="M7" s="54">
        <v>-0.89</v>
      </c>
      <c r="N7" s="54">
        <v>5.56</v>
      </c>
      <c r="O7" s="54">
        <v>14.74</v>
      </c>
      <c r="P7" s="54">
        <v>22.64</v>
      </c>
      <c r="Q7" s="54">
        <v>12.69</v>
      </c>
      <c r="R7" s="54">
        <v>27.8</v>
      </c>
      <c r="S7" s="54">
        <v>25.61</v>
      </c>
      <c r="T7" s="54">
        <v>-2.36</v>
      </c>
      <c r="U7" s="54">
        <v>7.62</v>
      </c>
    </row>
    <row r="8" spans="1:21" x14ac:dyDescent="0.25">
      <c r="A8" s="52">
        <v>1974</v>
      </c>
      <c r="B8" s="52" t="s">
        <v>222</v>
      </c>
      <c r="C8" s="52" t="s">
        <v>223</v>
      </c>
      <c r="D8" s="53">
        <v>60.96</v>
      </c>
      <c r="E8" s="54">
        <v>23.21</v>
      </c>
      <c r="F8" s="52" t="s">
        <v>224</v>
      </c>
      <c r="G8" s="54">
        <v>-1.04</v>
      </c>
      <c r="H8" s="52" t="s">
        <v>225</v>
      </c>
      <c r="I8" s="54">
        <v>-14.62</v>
      </c>
      <c r="J8" s="55" t="s">
        <v>123</v>
      </c>
      <c r="K8" s="54">
        <v>-0.48</v>
      </c>
      <c r="L8" s="54">
        <v>-1.92</v>
      </c>
      <c r="M8" s="54">
        <v>-9.1999999999999993</v>
      </c>
      <c r="N8" s="54">
        <v>-11.96</v>
      </c>
      <c r="O8" s="54">
        <v>5.1100000000000003</v>
      </c>
      <c r="P8" s="54">
        <v>19.93</v>
      </c>
      <c r="Q8" s="54">
        <v>18.690000000000001</v>
      </c>
      <c r="R8" s="54">
        <v>47.77</v>
      </c>
      <c r="S8" s="54">
        <v>40.46</v>
      </c>
      <c r="T8" s="54">
        <v>-14.62</v>
      </c>
      <c r="U8" s="54">
        <v>-8.6</v>
      </c>
    </row>
    <row r="9" spans="1:21" x14ac:dyDescent="0.25">
      <c r="A9" s="52">
        <v>1978</v>
      </c>
      <c r="B9" s="52" t="s">
        <v>226</v>
      </c>
      <c r="C9" s="52" t="s">
        <v>227</v>
      </c>
      <c r="D9" s="53">
        <v>91.65</v>
      </c>
      <c r="E9" s="54">
        <v>2.4</v>
      </c>
      <c r="F9" s="52" t="s">
        <v>228</v>
      </c>
      <c r="G9" s="54">
        <v>-3.65</v>
      </c>
      <c r="H9" s="52" t="s">
        <v>229</v>
      </c>
      <c r="I9" s="54">
        <v>-2.2200000000000002</v>
      </c>
      <c r="J9" s="55" t="s">
        <v>124</v>
      </c>
      <c r="K9" s="54">
        <v>0.64</v>
      </c>
      <c r="L9" s="54">
        <v>-1.45</v>
      </c>
      <c r="M9" s="54">
        <v>1.24</v>
      </c>
      <c r="N9" s="54">
        <v>3.44</v>
      </c>
      <c r="O9" s="54">
        <v>3.53</v>
      </c>
      <c r="P9" s="54">
        <v>5.51</v>
      </c>
      <c r="Q9" s="54">
        <v>6.41</v>
      </c>
      <c r="R9" s="54">
        <v>8.0399999999999991</v>
      </c>
      <c r="S9" s="54">
        <v>7.9</v>
      </c>
      <c r="T9" s="54">
        <v>-2.2200000000000002</v>
      </c>
      <c r="U9" s="54">
        <v>1.46</v>
      </c>
    </row>
    <row r="10" spans="1:21" x14ac:dyDescent="0.25">
      <c r="A10" s="52">
        <v>1982</v>
      </c>
      <c r="B10" s="52" t="s">
        <v>230</v>
      </c>
      <c r="C10" s="52" t="s">
        <v>231</v>
      </c>
      <c r="D10" s="53">
        <v>131.5</v>
      </c>
      <c r="E10" s="54">
        <v>4.5599999999999996</v>
      </c>
      <c r="F10" s="52" t="s">
        <v>230</v>
      </c>
      <c r="G10" s="54">
        <v>-0.74</v>
      </c>
      <c r="H10" s="52" t="s">
        <v>232</v>
      </c>
      <c r="I10" s="54">
        <v>-4.43</v>
      </c>
      <c r="J10" s="55" t="s">
        <v>124</v>
      </c>
      <c r="K10" s="54">
        <v>3.91</v>
      </c>
      <c r="L10" s="54">
        <v>4.0199999999999996</v>
      </c>
      <c r="M10" s="54">
        <v>-1.51</v>
      </c>
      <c r="N10" s="54">
        <v>0.97</v>
      </c>
      <c r="O10" s="54">
        <v>4.17</v>
      </c>
      <c r="P10" s="54">
        <v>17.91</v>
      </c>
      <c r="Q10" s="54">
        <v>19.89</v>
      </c>
      <c r="R10" s="54">
        <v>23.28</v>
      </c>
      <c r="S10" s="54">
        <v>23.37</v>
      </c>
      <c r="T10" s="54">
        <v>-4.43</v>
      </c>
      <c r="U10" s="54">
        <v>0.43</v>
      </c>
    </row>
    <row r="11" spans="1:21" x14ac:dyDescent="0.25">
      <c r="A11" s="52">
        <v>1986</v>
      </c>
      <c r="B11" s="52" t="s">
        <v>233</v>
      </c>
      <c r="C11" s="52" t="s">
        <v>234</v>
      </c>
      <c r="D11" s="53">
        <v>228.08</v>
      </c>
      <c r="E11" s="54">
        <v>7.94</v>
      </c>
      <c r="F11" s="52" t="s">
        <v>233</v>
      </c>
      <c r="G11" s="54">
        <v>-0.09</v>
      </c>
      <c r="H11" s="52" t="s">
        <v>235</v>
      </c>
      <c r="I11" s="54">
        <v>-4.34</v>
      </c>
      <c r="J11" s="55" t="s">
        <v>123</v>
      </c>
      <c r="K11" s="54">
        <v>0.15</v>
      </c>
      <c r="L11" s="54">
        <v>0.36</v>
      </c>
      <c r="M11" s="54">
        <v>-3.83</v>
      </c>
      <c r="N11" s="54">
        <v>2.78</v>
      </c>
      <c r="O11" s="54">
        <v>13.58</v>
      </c>
      <c r="P11" s="54">
        <v>17.53</v>
      </c>
      <c r="Q11" s="54">
        <v>1.1200000000000001</v>
      </c>
      <c r="R11" s="54">
        <v>26.87</v>
      </c>
      <c r="S11" s="54">
        <v>22.87</v>
      </c>
      <c r="T11" s="54">
        <v>-4.34</v>
      </c>
      <c r="U11" s="54">
        <v>-1.64</v>
      </c>
    </row>
    <row r="12" spans="1:21" x14ac:dyDescent="0.25">
      <c r="A12" s="52">
        <v>1990</v>
      </c>
      <c r="B12" s="52" t="s">
        <v>236</v>
      </c>
      <c r="C12" s="52" t="s">
        <v>237</v>
      </c>
      <c r="D12" s="53">
        <v>294.51</v>
      </c>
      <c r="E12" s="54">
        <v>5.81</v>
      </c>
      <c r="F12" s="52" t="s">
        <v>238</v>
      </c>
      <c r="G12" s="54">
        <v>-1.33</v>
      </c>
      <c r="H12" s="52" t="s">
        <v>239</v>
      </c>
      <c r="I12" s="54">
        <v>-2.11</v>
      </c>
      <c r="J12" s="55" t="s">
        <v>123</v>
      </c>
      <c r="K12" s="54">
        <v>-1.8</v>
      </c>
      <c r="L12" s="54">
        <v>1.94</v>
      </c>
      <c r="M12" s="54">
        <v>1.18</v>
      </c>
      <c r="N12" s="54">
        <v>5.6</v>
      </c>
      <c r="O12" s="54">
        <v>14.91</v>
      </c>
      <c r="P12" s="54">
        <v>21.97</v>
      </c>
      <c r="Q12" s="54">
        <v>25.14</v>
      </c>
      <c r="R12" s="54">
        <v>29.06</v>
      </c>
      <c r="S12" s="54">
        <v>24.6</v>
      </c>
      <c r="T12" s="54">
        <v>-2.11</v>
      </c>
      <c r="U12" s="54">
        <v>-0.73</v>
      </c>
    </row>
    <row r="13" spans="1:21" x14ac:dyDescent="0.25">
      <c r="A13" s="52">
        <v>1994</v>
      </c>
      <c r="B13" s="52" t="s">
        <v>240</v>
      </c>
      <c r="C13" s="52" t="s">
        <v>241</v>
      </c>
      <c r="D13" s="53">
        <v>449.27</v>
      </c>
      <c r="E13" s="54">
        <v>3.65</v>
      </c>
      <c r="F13" s="52" t="s">
        <v>242</v>
      </c>
      <c r="G13" s="54">
        <v>-1.91</v>
      </c>
      <c r="H13" s="52" t="s">
        <v>243</v>
      </c>
      <c r="I13" s="54">
        <v>-4.8899999999999997</v>
      </c>
      <c r="J13" s="55" t="s">
        <v>124</v>
      </c>
      <c r="K13" s="54">
        <v>-0.05</v>
      </c>
      <c r="L13" s="54">
        <v>-0.13</v>
      </c>
      <c r="M13" s="54">
        <v>-3.34</v>
      </c>
      <c r="N13" s="54">
        <v>-4.34</v>
      </c>
      <c r="O13" s="54">
        <v>3.34</v>
      </c>
      <c r="P13" s="54">
        <v>12.52</v>
      </c>
      <c r="Q13" s="54">
        <v>27.07</v>
      </c>
      <c r="R13" s="54">
        <v>16.62</v>
      </c>
      <c r="S13" s="54">
        <v>18.309999999999999</v>
      </c>
      <c r="T13" s="54">
        <v>-4.8899999999999997</v>
      </c>
      <c r="U13" s="54">
        <v>-1.81</v>
      </c>
    </row>
    <row r="14" spans="1:21" x14ac:dyDescent="0.25">
      <c r="A14" s="52">
        <v>1998</v>
      </c>
      <c r="B14" s="52" t="s">
        <v>244</v>
      </c>
      <c r="C14" s="52" t="s">
        <v>245</v>
      </c>
      <c r="D14" s="53">
        <v>923.32</v>
      </c>
      <c r="E14" s="54">
        <v>20.309999999999999</v>
      </c>
      <c r="F14" s="52" t="s">
        <v>244</v>
      </c>
      <c r="G14" s="54">
        <v>-0.37</v>
      </c>
      <c r="H14" s="52" t="s">
        <v>246</v>
      </c>
      <c r="I14" s="54">
        <v>-0.12</v>
      </c>
      <c r="J14" s="55" t="s">
        <v>123</v>
      </c>
      <c r="K14" s="54">
        <v>0.7</v>
      </c>
      <c r="L14" s="54">
        <v>1.57</v>
      </c>
      <c r="M14" s="54">
        <v>2.56</v>
      </c>
      <c r="N14" s="54">
        <v>3.54</v>
      </c>
      <c r="O14" s="54">
        <v>14.51</v>
      </c>
      <c r="P14" s="54">
        <v>21.95</v>
      </c>
      <c r="Q14" s="54">
        <v>21.97</v>
      </c>
      <c r="R14" s="54">
        <v>46.71</v>
      </c>
      <c r="S14" s="54">
        <v>22.09</v>
      </c>
      <c r="T14" s="54">
        <v>-0.4</v>
      </c>
      <c r="U14" s="54">
        <v>8.6199999999999992</v>
      </c>
    </row>
    <row r="15" spans="1:21" x14ac:dyDescent="0.25">
      <c r="A15" s="52">
        <v>2002</v>
      </c>
      <c r="B15" s="52" t="s">
        <v>247</v>
      </c>
      <c r="C15" s="52" t="s">
        <v>248</v>
      </c>
      <c r="D15" s="53">
        <v>768.63</v>
      </c>
      <c r="E15" s="54">
        <v>19.100000000000001</v>
      </c>
      <c r="F15" s="52" t="s">
        <v>249</v>
      </c>
      <c r="G15" s="54">
        <v>-0.99</v>
      </c>
      <c r="H15" s="52" t="s">
        <v>250</v>
      </c>
      <c r="I15" s="54">
        <v>-5.0199999999999996</v>
      </c>
      <c r="J15" s="55" t="s">
        <v>123</v>
      </c>
      <c r="K15" s="54">
        <v>0.91</v>
      </c>
      <c r="L15" s="54">
        <v>-3.54</v>
      </c>
      <c r="M15" s="54">
        <v>-2.04</v>
      </c>
      <c r="N15" s="54">
        <v>-0.97</v>
      </c>
      <c r="O15" s="54">
        <v>-7.84</v>
      </c>
      <c r="P15" s="54">
        <v>1.22</v>
      </c>
      <c r="Q15" s="54">
        <v>14.9</v>
      </c>
      <c r="R15" s="54">
        <v>20.55</v>
      </c>
      <c r="S15" s="54">
        <v>6.57</v>
      </c>
      <c r="T15" s="54">
        <v>-13.82</v>
      </c>
      <c r="U15" s="54">
        <v>-11.92</v>
      </c>
    </row>
    <row r="16" spans="1:21" x14ac:dyDescent="0.25">
      <c r="A16" s="52">
        <v>2006</v>
      </c>
      <c r="B16" s="52" t="s">
        <v>251</v>
      </c>
      <c r="C16" s="52" t="s">
        <v>252</v>
      </c>
      <c r="D16" s="53">
        <v>1360.98</v>
      </c>
      <c r="E16" s="54">
        <v>1.61</v>
      </c>
      <c r="F16" s="52" t="s">
        <v>251</v>
      </c>
      <c r="G16" s="54">
        <v>-0.39</v>
      </c>
      <c r="H16" s="52" t="s">
        <v>253</v>
      </c>
      <c r="I16" s="54">
        <v>-0.52</v>
      </c>
      <c r="J16" s="55" t="s">
        <v>126</v>
      </c>
      <c r="K16" s="54">
        <v>0.21</v>
      </c>
      <c r="L16" s="54">
        <v>0.75</v>
      </c>
      <c r="M16" s="54">
        <v>1.44</v>
      </c>
      <c r="N16" s="54">
        <v>1.77</v>
      </c>
      <c r="O16" s="54">
        <v>4.8600000000000003</v>
      </c>
      <c r="P16" s="54">
        <v>9.16</v>
      </c>
      <c r="Q16" s="54">
        <v>6.71</v>
      </c>
      <c r="R16" s="54">
        <v>10.91</v>
      </c>
      <c r="S16" s="54">
        <v>9.73</v>
      </c>
      <c r="T16" s="54">
        <v>-1.36</v>
      </c>
      <c r="U16" s="54">
        <v>0.48</v>
      </c>
    </row>
    <row r="17" spans="1:21" x14ac:dyDescent="0.25">
      <c r="A17" s="52">
        <v>2010</v>
      </c>
      <c r="B17" s="52" t="s">
        <v>254</v>
      </c>
      <c r="C17" s="52" t="s">
        <v>255</v>
      </c>
      <c r="D17" s="53">
        <v>1159.71</v>
      </c>
      <c r="E17" s="54">
        <v>2.92</v>
      </c>
      <c r="F17" s="52" t="s">
        <v>256</v>
      </c>
      <c r="G17" s="54">
        <v>-0.21</v>
      </c>
      <c r="H17" s="52" t="s">
        <v>257</v>
      </c>
      <c r="I17" s="54">
        <v>-1.72</v>
      </c>
      <c r="J17" s="55" t="s">
        <v>124</v>
      </c>
      <c r="K17" s="54">
        <v>0.37</v>
      </c>
      <c r="L17" s="54">
        <v>1.66</v>
      </c>
      <c r="M17" s="54">
        <v>-1.28</v>
      </c>
      <c r="N17" s="54">
        <v>2.34</v>
      </c>
      <c r="O17" s="54">
        <v>9.25</v>
      </c>
      <c r="P17" s="54">
        <v>14.05</v>
      </c>
      <c r="Q17" s="54">
        <v>3.71</v>
      </c>
      <c r="R17" s="54">
        <v>17.38</v>
      </c>
      <c r="S17" s="54">
        <v>16.05</v>
      </c>
      <c r="T17" s="54">
        <v>-1.72</v>
      </c>
      <c r="U17" s="54">
        <v>5.37</v>
      </c>
    </row>
    <row r="18" spans="1:21" x14ac:dyDescent="0.25">
      <c r="A18" s="52">
        <v>2014</v>
      </c>
      <c r="B18" s="52" t="s">
        <v>258</v>
      </c>
      <c r="C18" s="52" t="s">
        <v>259</v>
      </c>
      <c r="D18" s="53">
        <v>1909.38</v>
      </c>
      <c r="E18" s="54">
        <v>5.38</v>
      </c>
      <c r="F18" s="52" t="s">
        <v>260</v>
      </c>
      <c r="G18" s="54">
        <v>-0.61</v>
      </c>
      <c r="H18" s="52" t="s">
        <v>261</v>
      </c>
      <c r="I18" s="54">
        <v>-1.97</v>
      </c>
      <c r="J18" s="55" t="s">
        <v>123</v>
      </c>
      <c r="K18" s="54">
        <v>0.56999999999999995</v>
      </c>
      <c r="L18" s="54">
        <v>1.37</v>
      </c>
      <c r="M18" s="54">
        <v>1.97</v>
      </c>
      <c r="N18" s="54">
        <v>2.97</v>
      </c>
      <c r="O18" s="54">
        <v>1.46</v>
      </c>
      <c r="P18" s="54">
        <v>5.09</v>
      </c>
      <c r="Q18" s="54">
        <v>4.4800000000000004</v>
      </c>
      <c r="R18" s="54">
        <v>10.74</v>
      </c>
      <c r="S18" s="54">
        <v>7.2</v>
      </c>
      <c r="T18" s="54">
        <v>-1.97</v>
      </c>
      <c r="U18" s="54">
        <v>-1.55</v>
      </c>
    </row>
    <row r="19" spans="1:21" x14ac:dyDescent="0.25">
      <c r="A19" s="52">
        <v>2018</v>
      </c>
      <c r="B19" s="52" t="s">
        <v>262</v>
      </c>
      <c r="C19" s="52" t="s">
        <v>263</v>
      </c>
      <c r="D19" s="53">
        <v>2603.54</v>
      </c>
      <c r="E19" s="54">
        <v>5.83</v>
      </c>
      <c r="F19" s="52" t="s">
        <v>262</v>
      </c>
      <c r="G19" s="54">
        <v>-0.05</v>
      </c>
      <c r="H19" s="52" t="s">
        <v>264</v>
      </c>
      <c r="I19" s="54">
        <v>-14.84</v>
      </c>
      <c r="J19" s="55" t="s">
        <v>125</v>
      </c>
      <c r="K19" s="54">
        <v>2.12</v>
      </c>
      <c r="L19" s="54">
        <v>-1.21</v>
      </c>
      <c r="M19" s="54">
        <v>-4.12</v>
      </c>
      <c r="N19" s="54">
        <v>-2.16</v>
      </c>
      <c r="O19" s="54">
        <v>-0.87</v>
      </c>
      <c r="P19" s="54">
        <v>6.42</v>
      </c>
      <c r="Q19" s="54">
        <v>11.66</v>
      </c>
      <c r="R19" s="54">
        <v>12.63</v>
      </c>
      <c r="S19" s="54">
        <v>24.97</v>
      </c>
      <c r="T19" s="54">
        <v>-14.84</v>
      </c>
      <c r="U19" s="54">
        <v>-11.3</v>
      </c>
    </row>
    <row r="20" spans="1:21" x14ac:dyDescent="0.25">
      <c r="A20" s="52">
        <v>2022</v>
      </c>
      <c r="B20" s="52" t="s">
        <v>265</v>
      </c>
      <c r="C20" s="52" t="s">
        <v>266</v>
      </c>
      <c r="D20" s="53">
        <v>3491.58</v>
      </c>
      <c r="E20" s="54">
        <v>9.64</v>
      </c>
      <c r="F20" s="52" t="s">
        <v>267</v>
      </c>
      <c r="G20" s="54">
        <v>-2.14</v>
      </c>
      <c r="H20" s="52" t="s">
        <v>268</v>
      </c>
      <c r="I20" s="54">
        <v>-2.19</v>
      </c>
      <c r="J20" s="55" t="s">
        <v>123</v>
      </c>
      <c r="K20" s="54">
        <v>-2.08</v>
      </c>
      <c r="L20" s="54">
        <v>4.2699999999999996</v>
      </c>
      <c r="M20" s="54">
        <v>4.58</v>
      </c>
      <c r="N20" s="54">
        <v>3.54</v>
      </c>
      <c r="O20" s="54">
        <v>7.57</v>
      </c>
      <c r="P20" s="54">
        <v>8.1</v>
      </c>
      <c r="Q20" s="54">
        <v>14.49</v>
      </c>
      <c r="R20" s="54">
        <v>18.52</v>
      </c>
      <c r="S20" s="54">
        <v>10.52</v>
      </c>
      <c r="T20" s="54">
        <v>-2.19</v>
      </c>
      <c r="U20" s="54">
        <v>-0.88</v>
      </c>
    </row>
  </sheetData>
  <mergeCells count="2">
    <mergeCell ref="A1:U1"/>
    <mergeCell ref="A2:U2"/>
  </mergeCells>
  <pageMargins left="0.3" right="0.3" top="0.4" bottom="0.4"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1"/>
  <sheetViews>
    <sheetView showGridLines="0" zoomScaleNormal="100" workbookViewId="0">
      <pane ySplit="4" topLeftCell="A5" activePane="bottomLeft" state="frozen"/>
      <selection pane="bottomLeft"/>
    </sheetView>
  </sheetViews>
  <sheetFormatPr defaultColWidth="8.7109375" defaultRowHeight="15" x14ac:dyDescent="0.25"/>
  <cols>
    <col min="1" max="1" width="7" customWidth="1"/>
    <col min="2" max="9" width="13" customWidth="1"/>
    <col min="10" max="10" width="24" customWidth="1"/>
    <col min="11" max="21" width="13" customWidth="1"/>
  </cols>
  <sheetData>
    <row r="1" spans="1:21" ht="18.75" x14ac:dyDescent="0.3">
      <c r="A1" s="69" t="s">
        <v>269</v>
      </c>
      <c r="B1" s="69"/>
      <c r="C1" s="69"/>
      <c r="D1" s="69"/>
      <c r="E1" s="69"/>
      <c r="F1" s="69"/>
      <c r="G1" s="69"/>
      <c r="H1" s="69"/>
      <c r="I1" s="69"/>
      <c r="J1" s="69"/>
      <c r="K1" s="69"/>
      <c r="L1" s="69"/>
      <c r="M1" s="69"/>
      <c r="N1" s="69"/>
      <c r="O1" s="69"/>
      <c r="P1" s="69"/>
      <c r="Q1" s="69"/>
      <c r="R1" s="69"/>
      <c r="S1" s="69"/>
      <c r="T1" s="69"/>
      <c r="U1" s="69"/>
    </row>
    <row r="2" spans="1:21" x14ac:dyDescent="0.25">
      <c r="A2" s="78" t="s">
        <v>190</v>
      </c>
      <c r="B2" s="78"/>
      <c r="C2" s="78"/>
      <c r="D2" s="78"/>
      <c r="E2" s="78"/>
      <c r="F2" s="78"/>
      <c r="G2" s="78"/>
      <c r="H2" s="78"/>
      <c r="I2" s="78"/>
      <c r="J2" s="78"/>
      <c r="K2" s="78"/>
      <c r="L2" s="78"/>
      <c r="M2" s="78"/>
      <c r="N2" s="78"/>
      <c r="O2" s="78"/>
      <c r="P2" s="78"/>
      <c r="Q2" s="78"/>
      <c r="R2" s="78"/>
      <c r="S2" s="78"/>
      <c r="T2" s="78"/>
      <c r="U2" s="78"/>
    </row>
    <row r="4" spans="1:21" ht="30" customHeight="1" x14ac:dyDescent="0.25">
      <c r="A4" s="36" t="s">
        <v>58</v>
      </c>
      <c r="B4" s="36" t="s">
        <v>191</v>
      </c>
      <c r="C4" s="36" t="s">
        <v>192</v>
      </c>
      <c r="D4" s="36" t="s">
        <v>193</v>
      </c>
      <c r="E4" s="36" t="s">
        <v>194</v>
      </c>
      <c r="F4" s="36" t="s">
        <v>195</v>
      </c>
      <c r="G4" s="36" t="s">
        <v>196</v>
      </c>
      <c r="H4" s="36" t="s">
        <v>197</v>
      </c>
      <c r="I4" s="36" t="s">
        <v>198</v>
      </c>
      <c r="J4" s="36" t="s">
        <v>119</v>
      </c>
      <c r="K4" s="36" t="s">
        <v>199</v>
      </c>
      <c r="L4" s="36" t="s">
        <v>200</v>
      </c>
      <c r="M4" s="36" t="s">
        <v>201</v>
      </c>
      <c r="N4" s="36" t="s">
        <v>202</v>
      </c>
      <c r="O4" s="36" t="s">
        <v>203</v>
      </c>
      <c r="P4" s="36" t="s">
        <v>204</v>
      </c>
      <c r="Q4" s="36" t="s">
        <v>205</v>
      </c>
      <c r="R4" s="36" t="s">
        <v>206</v>
      </c>
      <c r="S4" s="36" t="s">
        <v>207</v>
      </c>
      <c r="T4" s="36" t="s">
        <v>208</v>
      </c>
      <c r="U4" s="36" t="s">
        <v>209</v>
      </c>
    </row>
    <row r="5" spans="1:21" x14ac:dyDescent="0.25">
      <c r="A5" s="52">
        <v>1962</v>
      </c>
      <c r="B5" s="52" t="s">
        <v>210</v>
      </c>
      <c r="C5" s="52" t="s">
        <v>211</v>
      </c>
      <c r="D5" s="53">
        <v>549.65</v>
      </c>
      <c r="E5" s="54">
        <v>8.2799999999999994</v>
      </c>
      <c r="F5" s="52" t="s">
        <v>270</v>
      </c>
      <c r="G5" s="54">
        <v>-16.54</v>
      </c>
      <c r="H5" s="52" t="s">
        <v>271</v>
      </c>
      <c r="I5" s="54">
        <v>-2.5299999999999998</v>
      </c>
      <c r="J5" s="55" t="s">
        <v>123</v>
      </c>
      <c r="K5" s="54">
        <v>-1.03</v>
      </c>
      <c r="L5" s="54">
        <v>4.6900000000000004</v>
      </c>
      <c r="M5" s="54">
        <v>6.35</v>
      </c>
      <c r="N5" s="54">
        <v>-2.39</v>
      </c>
      <c r="O5" s="54">
        <v>21.16</v>
      </c>
      <c r="P5" s="54">
        <v>21.97</v>
      </c>
      <c r="Q5" s="54">
        <v>20.7</v>
      </c>
      <c r="R5" s="54">
        <v>32.07</v>
      </c>
      <c r="S5" s="54">
        <v>25.14</v>
      </c>
      <c r="T5" s="54">
        <v>-2.5299999999999998</v>
      </c>
      <c r="U5" s="54">
        <v>8.1300000000000008</v>
      </c>
    </row>
    <row r="6" spans="1:21" x14ac:dyDescent="0.25">
      <c r="A6" s="52">
        <v>1966</v>
      </c>
      <c r="B6" s="52" t="s">
        <v>214</v>
      </c>
      <c r="C6" s="52" t="s">
        <v>215</v>
      </c>
      <c r="D6" s="53">
        <v>735.74</v>
      </c>
      <c r="E6" s="54">
        <v>13.89</v>
      </c>
      <c r="F6" s="52" t="s">
        <v>216</v>
      </c>
      <c r="G6" s="54">
        <v>-16.04</v>
      </c>
      <c r="H6" s="52" t="s">
        <v>272</v>
      </c>
      <c r="I6" s="54">
        <v>-10.199999999999999</v>
      </c>
      <c r="J6" s="55" t="s">
        <v>124</v>
      </c>
      <c r="K6" s="54">
        <v>-9.4600000000000009</v>
      </c>
      <c r="L6" s="54">
        <v>-2.0299999999999998</v>
      </c>
      <c r="M6" s="54">
        <v>-4.9000000000000004</v>
      </c>
      <c r="N6" s="54">
        <v>0.31</v>
      </c>
      <c r="O6" s="54">
        <v>10.07</v>
      </c>
      <c r="P6" s="54">
        <v>3.23</v>
      </c>
      <c r="Q6" s="54">
        <v>9.8699999999999992</v>
      </c>
      <c r="R6" s="54">
        <v>17.559999999999999</v>
      </c>
      <c r="S6" s="54">
        <v>14.95</v>
      </c>
      <c r="T6" s="54">
        <v>-10.199999999999999</v>
      </c>
      <c r="U6" s="54">
        <v>-2</v>
      </c>
    </row>
    <row r="7" spans="1:21" x14ac:dyDescent="0.25">
      <c r="A7" s="52">
        <v>1970</v>
      </c>
      <c r="B7" s="52" t="s">
        <v>218</v>
      </c>
      <c r="C7" s="52" t="s">
        <v>219</v>
      </c>
      <c r="D7" s="53">
        <v>749.04</v>
      </c>
      <c r="E7" s="54">
        <v>3.88</v>
      </c>
      <c r="F7" s="52" t="s">
        <v>273</v>
      </c>
      <c r="G7" s="54">
        <v>-5.65</v>
      </c>
      <c r="H7" s="52" t="s">
        <v>274</v>
      </c>
      <c r="I7" s="54">
        <v>-13.27</v>
      </c>
      <c r="J7" s="55" t="s">
        <v>125</v>
      </c>
      <c r="K7" s="54">
        <v>-8.75</v>
      </c>
      <c r="L7" s="54">
        <v>0.18</v>
      </c>
      <c r="M7" s="54">
        <v>-3.07</v>
      </c>
      <c r="N7" s="54">
        <v>-0.21</v>
      </c>
      <c r="O7" s="54">
        <v>13.48</v>
      </c>
      <c r="P7" s="54">
        <v>15.41</v>
      </c>
      <c r="Q7" s="54">
        <v>15.59</v>
      </c>
      <c r="R7" s="54">
        <v>19.89</v>
      </c>
      <c r="S7" s="54">
        <v>33.06</v>
      </c>
      <c r="T7" s="54">
        <v>-13.27</v>
      </c>
      <c r="U7" s="54">
        <v>4.7</v>
      </c>
    </row>
    <row r="8" spans="1:21" x14ac:dyDescent="0.25">
      <c r="A8" s="52">
        <v>1974</v>
      </c>
      <c r="B8" s="52" t="s">
        <v>222</v>
      </c>
      <c r="C8" s="52" t="s">
        <v>223</v>
      </c>
      <c r="D8" s="53">
        <v>840.27</v>
      </c>
      <c r="E8" s="54">
        <v>0.54</v>
      </c>
      <c r="F8" s="52" t="s">
        <v>275</v>
      </c>
      <c r="G8" s="54">
        <v>-5.43</v>
      </c>
      <c r="H8" s="52" t="s">
        <v>276</v>
      </c>
      <c r="I8" s="54">
        <v>-31.06</v>
      </c>
      <c r="J8" s="55" t="s">
        <v>126</v>
      </c>
      <c r="K8" s="54">
        <v>0.86</v>
      </c>
      <c r="L8" s="54">
        <v>-20.38</v>
      </c>
      <c r="M8" s="54">
        <v>-26.03</v>
      </c>
      <c r="N8" s="54">
        <v>5.01</v>
      </c>
      <c r="O8" s="54">
        <v>0.43</v>
      </c>
      <c r="P8" s="54">
        <v>1.28</v>
      </c>
      <c r="Q8" s="54">
        <v>-6.55</v>
      </c>
      <c r="R8" s="54">
        <v>1.82</v>
      </c>
      <c r="S8" s="54">
        <v>46.9</v>
      </c>
      <c r="T8" s="54">
        <v>-31.06</v>
      </c>
      <c r="U8" s="54">
        <v>-26.71</v>
      </c>
    </row>
    <row r="9" spans="1:21" x14ac:dyDescent="0.25">
      <c r="A9" s="52">
        <v>1978</v>
      </c>
      <c r="B9" s="52" t="s">
        <v>226</v>
      </c>
      <c r="C9" s="52" t="s">
        <v>227</v>
      </c>
      <c r="D9" s="53">
        <v>782.05</v>
      </c>
      <c r="E9" s="54">
        <v>5.0199999999999996</v>
      </c>
      <c r="F9" s="52" t="s">
        <v>277</v>
      </c>
      <c r="G9" s="54">
        <v>-1.68</v>
      </c>
      <c r="H9" s="52" t="s">
        <v>278</v>
      </c>
      <c r="I9" s="54">
        <v>-6.97</v>
      </c>
      <c r="J9" s="55" t="s">
        <v>124</v>
      </c>
      <c r="K9" s="54">
        <v>8.4700000000000006</v>
      </c>
      <c r="L9" s="54">
        <v>-3.57</v>
      </c>
      <c r="M9" s="54">
        <v>-1.91</v>
      </c>
      <c r="N9" s="54">
        <v>0.44</v>
      </c>
      <c r="O9" s="54">
        <v>1.55</v>
      </c>
      <c r="P9" s="54">
        <v>1.76</v>
      </c>
      <c r="Q9" s="54">
        <v>2.75</v>
      </c>
      <c r="R9" s="54">
        <v>6.87</v>
      </c>
      <c r="S9" s="54">
        <v>9.39</v>
      </c>
      <c r="T9" s="54">
        <v>-6.97</v>
      </c>
      <c r="U9" s="54">
        <v>-2.77</v>
      </c>
    </row>
    <row r="10" spans="1:21" x14ac:dyDescent="0.25">
      <c r="A10" s="52">
        <v>1982</v>
      </c>
      <c r="B10" s="52" t="s">
        <v>230</v>
      </c>
      <c r="C10" s="52" t="s">
        <v>231</v>
      </c>
      <c r="D10" s="53">
        <v>979.76</v>
      </c>
      <c r="E10" s="54">
        <v>-14.81</v>
      </c>
      <c r="F10" s="52" t="s">
        <v>279</v>
      </c>
      <c r="G10" s="54">
        <v>-17.649999999999999</v>
      </c>
      <c r="H10" s="52" t="s">
        <v>280</v>
      </c>
      <c r="I10" s="54">
        <v>-7.49</v>
      </c>
      <c r="J10" s="55" t="s">
        <v>126</v>
      </c>
      <c r="K10" s="54">
        <v>-3.49</v>
      </c>
      <c r="L10" s="54">
        <v>21.34</v>
      </c>
      <c r="M10" s="54">
        <v>23.65</v>
      </c>
      <c r="N10" s="54">
        <v>-0.1</v>
      </c>
      <c r="O10" s="54">
        <v>27.31</v>
      </c>
      <c r="P10" s="54">
        <v>25.18</v>
      </c>
      <c r="Q10" s="54">
        <v>30.17</v>
      </c>
      <c r="R10" s="54">
        <v>6.65</v>
      </c>
      <c r="S10" s="54">
        <v>35.32</v>
      </c>
      <c r="T10" s="54">
        <v>-7.49</v>
      </c>
      <c r="U10" s="54">
        <v>22.23</v>
      </c>
    </row>
    <row r="11" spans="1:21" x14ac:dyDescent="0.25">
      <c r="A11" s="52">
        <v>1986</v>
      </c>
      <c r="B11" s="52" t="s">
        <v>233</v>
      </c>
      <c r="C11" s="52" t="s">
        <v>234</v>
      </c>
      <c r="D11" s="53">
        <v>1733</v>
      </c>
      <c r="E11" s="54">
        <v>3.3</v>
      </c>
      <c r="F11" s="52" t="s">
        <v>281</v>
      </c>
      <c r="G11" s="54">
        <v>-7.87</v>
      </c>
      <c r="H11" s="52" t="s">
        <v>282</v>
      </c>
      <c r="I11" s="54">
        <v>-9.52</v>
      </c>
      <c r="J11" s="55" t="s">
        <v>125</v>
      </c>
      <c r="K11" s="54">
        <v>3.12</v>
      </c>
      <c r="L11" s="54">
        <v>5.91</v>
      </c>
      <c r="M11" s="54">
        <v>1.51</v>
      </c>
      <c r="N11" s="54">
        <v>-2.5</v>
      </c>
      <c r="O11" s="54">
        <v>29.62</v>
      </c>
      <c r="P11" s="54">
        <v>27.16</v>
      </c>
      <c r="Q11" s="54">
        <v>26.75</v>
      </c>
      <c r="R11" s="54">
        <v>31.36</v>
      </c>
      <c r="S11" s="54">
        <v>40.53</v>
      </c>
      <c r="T11" s="54">
        <v>-9.52</v>
      </c>
      <c r="U11" s="54">
        <v>1.96</v>
      </c>
    </row>
    <row r="12" spans="1:21" x14ac:dyDescent="0.25">
      <c r="A12" s="52">
        <v>1990</v>
      </c>
      <c r="B12" s="52" t="s">
        <v>236</v>
      </c>
      <c r="C12" s="52" t="s">
        <v>283</v>
      </c>
      <c r="D12" s="53">
        <v>2566.5</v>
      </c>
      <c r="E12" s="54">
        <v>12.7</v>
      </c>
      <c r="F12" s="52" t="s">
        <v>236</v>
      </c>
      <c r="G12" s="54">
        <v>-0.32</v>
      </c>
      <c r="H12" s="52" t="s">
        <v>284</v>
      </c>
      <c r="I12" s="54">
        <v>-18.95</v>
      </c>
      <c r="J12" s="55" t="s">
        <v>125</v>
      </c>
      <c r="K12" s="54">
        <v>1.39</v>
      </c>
      <c r="L12" s="54">
        <v>-12.35</v>
      </c>
      <c r="M12" s="54">
        <v>-12.53</v>
      </c>
      <c r="N12" s="54">
        <v>1.41</v>
      </c>
      <c r="O12" s="54">
        <v>1.59</v>
      </c>
      <c r="P12" s="54">
        <v>3.9</v>
      </c>
      <c r="Q12" s="54">
        <v>3.23</v>
      </c>
      <c r="R12" s="54">
        <v>17.100000000000001</v>
      </c>
      <c r="S12" s="54">
        <v>28.2</v>
      </c>
      <c r="T12" s="54">
        <v>-18.95</v>
      </c>
      <c r="U12" s="54">
        <v>-15.36</v>
      </c>
    </row>
    <row r="13" spans="1:21" x14ac:dyDescent="0.25">
      <c r="A13" s="52">
        <v>1994</v>
      </c>
      <c r="B13" s="52" t="s">
        <v>240</v>
      </c>
      <c r="C13" s="52" t="s">
        <v>241</v>
      </c>
      <c r="D13" s="53">
        <v>3628.45</v>
      </c>
      <c r="E13" s="54">
        <v>3.37</v>
      </c>
      <c r="F13" s="52" t="s">
        <v>285</v>
      </c>
      <c r="G13" s="54">
        <v>-5.03</v>
      </c>
      <c r="H13" s="52" t="s">
        <v>286</v>
      </c>
      <c r="I13" s="54">
        <v>-3.25</v>
      </c>
      <c r="J13" s="55" t="s">
        <v>124</v>
      </c>
      <c r="K13" s="54">
        <v>3.36</v>
      </c>
      <c r="L13" s="54">
        <v>2.5099999999999998</v>
      </c>
      <c r="M13" s="54">
        <v>-2.0299999999999998</v>
      </c>
      <c r="N13" s="54">
        <v>0.47</v>
      </c>
      <c r="O13" s="54">
        <v>25.04</v>
      </c>
      <c r="P13" s="54">
        <v>23.04</v>
      </c>
      <c r="Q13" s="54">
        <v>23.13</v>
      </c>
      <c r="R13" s="54">
        <v>27.19</v>
      </c>
      <c r="S13" s="54">
        <v>27.17</v>
      </c>
      <c r="T13" s="54">
        <v>-3.25</v>
      </c>
      <c r="U13" s="54">
        <v>1.1599999999999999</v>
      </c>
    </row>
    <row r="14" spans="1:21" x14ac:dyDescent="0.25">
      <c r="A14" s="52">
        <v>1998</v>
      </c>
      <c r="B14" s="52" t="s">
        <v>244</v>
      </c>
      <c r="C14" s="52" t="s">
        <v>287</v>
      </c>
      <c r="D14" s="53">
        <v>7519.5</v>
      </c>
      <c r="E14" s="54">
        <v>15.38</v>
      </c>
      <c r="F14" s="52" t="s">
        <v>288</v>
      </c>
      <c r="G14" s="54">
        <v>-3.74</v>
      </c>
      <c r="H14" s="52" t="s">
        <v>289</v>
      </c>
      <c r="I14" s="54">
        <v>-14.8</v>
      </c>
      <c r="J14" s="55" t="s">
        <v>124</v>
      </c>
      <c r="K14" s="54">
        <v>4.79</v>
      </c>
      <c r="L14" s="54">
        <v>1.71</v>
      </c>
      <c r="M14" s="54">
        <v>4.2</v>
      </c>
      <c r="N14" s="54">
        <v>-0.19</v>
      </c>
      <c r="O14" s="54">
        <v>7.17</v>
      </c>
      <c r="P14" s="54">
        <v>12.22</v>
      </c>
      <c r="Q14" s="54">
        <v>14.08</v>
      </c>
      <c r="R14" s="54">
        <v>29.48</v>
      </c>
      <c r="S14" s="54">
        <v>31.72</v>
      </c>
      <c r="T14" s="54">
        <v>-14.8</v>
      </c>
      <c r="U14" s="54">
        <v>4.47</v>
      </c>
    </row>
    <row r="15" spans="1:21" x14ac:dyDescent="0.25">
      <c r="A15" s="52">
        <v>2002</v>
      </c>
      <c r="B15" s="52" t="s">
        <v>247</v>
      </c>
      <c r="C15" s="52" t="s">
        <v>248</v>
      </c>
      <c r="D15" s="53">
        <v>7197.49</v>
      </c>
      <c r="E15" s="54">
        <v>41.38</v>
      </c>
      <c r="F15" s="52" t="s">
        <v>290</v>
      </c>
      <c r="G15" s="54">
        <v>-4.42</v>
      </c>
      <c r="H15" s="52" t="s">
        <v>291</v>
      </c>
      <c r="I15" s="54">
        <v>-25.9</v>
      </c>
      <c r="J15" s="55" t="s">
        <v>123</v>
      </c>
      <c r="K15" s="54">
        <v>-6.47</v>
      </c>
      <c r="L15" s="54">
        <v>-17.86</v>
      </c>
      <c r="M15" s="54">
        <v>-16.600000000000001</v>
      </c>
      <c r="N15" s="54">
        <v>0.14000000000000001</v>
      </c>
      <c r="O15" s="54">
        <v>-15.66</v>
      </c>
      <c r="P15" s="54">
        <v>-16.16</v>
      </c>
      <c r="Q15" s="54">
        <v>-19.39</v>
      </c>
      <c r="R15" s="54">
        <v>18.54</v>
      </c>
      <c r="S15" s="54">
        <v>13.14</v>
      </c>
      <c r="T15" s="54">
        <v>-25.9</v>
      </c>
      <c r="U15" s="54">
        <v>-25.03</v>
      </c>
    </row>
    <row r="16" spans="1:21" x14ac:dyDescent="0.25">
      <c r="A16" s="52">
        <v>2006</v>
      </c>
      <c r="B16" s="52" t="s">
        <v>251</v>
      </c>
      <c r="C16" s="52" t="s">
        <v>292</v>
      </c>
      <c r="D16" s="53">
        <v>11053.17</v>
      </c>
      <c r="E16" s="54">
        <v>0.74</v>
      </c>
      <c r="F16" s="52" t="s">
        <v>293</v>
      </c>
      <c r="G16" s="54">
        <v>-4.34</v>
      </c>
      <c r="H16" s="52" t="s">
        <v>294</v>
      </c>
      <c r="I16" s="54">
        <v>-3.09</v>
      </c>
      <c r="J16" s="55" t="s">
        <v>126</v>
      </c>
      <c r="K16" s="54">
        <v>-0.42</v>
      </c>
      <c r="L16" s="54">
        <v>8.9499999999999993</v>
      </c>
      <c r="M16" s="54">
        <v>10.61</v>
      </c>
      <c r="N16" s="54">
        <v>-1.0900000000000001</v>
      </c>
      <c r="O16" s="54">
        <v>21.56</v>
      </c>
      <c r="P16" s="54">
        <v>21.83</v>
      </c>
      <c r="Q16" s="54">
        <v>21.94</v>
      </c>
      <c r="R16" s="54">
        <v>22.73</v>
      </c>
      <c r="S16" s="54">
        <v>25.72</v>
      </c>
      <c r="T16" s="54">
        <v>-3.09</v>
      </c>
      <c r="U16" s="54">
        <v>8.31</v>
      </c>
    </row>
    <row r="17" spans="1:21" x14ac:dyDescent="0.25">
      <c r="A17" s="52">
        <v>2010</v>
      </c>
      <c r="B17" s="52" t="s">
        <v>254</v>
      </c>
      <c r="C17" s="52" t="s">
        <v>255</v>
      </c>
      <c r="D17" s="53">
        <v>10917.62</v>
      </c>
      <c r="E17" s="54">
        <v>-7.08</v>
      </c>
      <c r="F17" s="52" t="s">
        <v>256</v>
      </c>
      <c r="G17" s="54">
        <v>-9.81</v>
      </c>
      <c r="H17" s="52" t="s">
        <v>295</v>
      </c>
      <c r="I17" s="54">
        <v>-1.58</v>
      </c>
      <c r="J17" s="55" t="s">
        <v>126</v>
      </c>
      <c r="K17" s="54">
        <v>4.6100000000000003</v>
      </c>
      <c r="L17" s="54">
        <v>8.5399999999999991</v>
      </c>
      <c r="M17" s="54">
        <v>10.220000000000001</v>
      </c>
      <c r="N17" s="54">
        <v>-0.44</v>
      </c>
      <c r="O17" s="54">
        <v>18.71</v>
      </c>
      <c r="P17" s="54">
        <v>15.56</v>
      </c>
      <c r="Q17" s="54">
        <v>20.99</v>
      </c>
      <c r="R17" s="54">
        <v>7.38</v>
      </c>
      <c r="S17" s="54">
        <v>17.420000000000002</v>
      </c>
      <c r="T17" s="54">
        <v>-1.65</v>
      </c>
      <c r="U17" s="54">
        <v>10.52</v>
      </c>
    </row>
    <row r="18" spans="1:21" x14ac:dyDescent="0.25">
      <c r="A18" s="52">
        <v>2014</v>
      </c>
      <c r="B18" s="52" t="s">
        <v>258</v>
      </c>
      <c r="C18" s="52" t="s">
        <v>259</v>
      </c>
      <c r="D18" s="53">
        <v>16405.77</v>
      </c>
      <c r="E18" s="54">
        <v>-2.31</v>
      </c>
      <c r="F18" s="52" t="s">
        <v>296</v>
      </c>
      <c r="G18" s="54">
        <v>-7.87</v>
      </c>
      <c r="H18" s="52" t="s">
        <v>297</v>
      </c>
      <c r="I18" s="54">
        <v>-0.61</v>
      </c>
      <c r="J18" s="55" t="s">
        <v>126</v>
      </c>
      <c r="K18" s="54">
        <v>5.0999999999999996</v>
      </c>
      <c r="L18" s="54">
        <v>9.91</v>
      </c>
      <c r="M18" s="54">
        <v>10.36</v>
      </c>
      <c r="N18" s="54">
        <v>1.96</v>
      </c>
      <c r="O18" s="54">
        <v>10.83</v>
      </c>
      <c r="P18" s="54">
        <v>13.16</v>
      </c>
      <c r="Q18" s="54">
        <v>10.039999999999999</v>
      </c>
      <c r="R18" s="54">
        <v>10.54</v>
      </c>
      <c r="S18" s="54">
        <v>13.86</v>
      </c>
      <c r="T18" s="54">
        <v>-0.61</v>
      </c>
      <c r="U18" s="54">
        <v>-0.28999999999999998</v>
      </c>
    </row>
    <row r="19" spans="1:21" x14ac:dyDescent="0.25">
      <c r="A19" s="52">
        <v>2018</v>
      </c>
      <c r="B19" s="52" t="s">
        <v>262</v>
      </c>
      <c r="C19" s="52" t="s">
        <v>263</v>
      </c>
      <c r="D19" s="53">
        <v>24122.23</v>
      </c>
      <c r="E19" s="54">
        <v>4.97</v>
      </c>
      <c r="F19" s="52" t="s">
        <v>298</v>
      </c>
      <c r="G19" s="54">
        <v>-0.99</v>
      </c>
      <c r="H19" s="52" t="s">
        <v>264</v>
      </c>
      <c r="I19" s="54">
        <v>-14.26</v>
      </c>
      <c r="J19" s="55" t="s">
        <v>125</v>
      </c>
      <c r="K19" s="54">
        <v>-2.46</v>
      </c>
      <c r="L19" s="54">
        <v>-0.14000000000000001</v>
      </c>
      <c r="M19" s="54">
        <v>-3.38</v>
      </c>
      <c r="N19" s="54">
        <v>-0.01</v>
      </c>
      <c r="O19" s="54">
        <v>3.89</v>
      </c>
      <c r="P19" s="54">
        <v>0.86</v>
      </c>
      <c r="Q19" s="54">
        <v>2.87</v>
      </c>
      <c r="R19" s="54">
        <v>5.88</v>
      </c>
      <c r="S19" s="54">
        <v>17.63</v>
      </c>
      <c r="T19" s="54">
        <v>-14.26</v>
      </c>
      <c r="U19" s="54">
        <v>-9.4499999999999993</v>
      </c>
    </row>
    <row r="20" spans="1:21" x14ac:dyDescent="0.25">
      <c r="A20" s="52">
        <v>2022</v>
      </c>
      <c r="B20" s="52" t="s">
        <v>265</v>
      </c>
      <c r="C20" s="52" t="s">
        <v>266</v>
      </c>
      <c r="D20" s="53">
        <v>28660.94</v>
      </c>
      <c r="E20" s="54">
        <v>16.309999999999999</v>
      </c>
      <c r="F20" s="52" t="s">
        <v>267</v>
      </c>
      <c r="G20" s="54">
        <v>-8.09</v>
      </c>
      <c r="H20" s="52" t="s">
        <v>299</v>
      </c>
      <c r="I20" s="54">
        <v>-12.79</v>
      </c>
      <c r="J20" s="55" t="s">
        <v>124</v>
      </c>
      <c r="K20" s="54">
        <v>-12.29</v>
      </c>
      <c r="L20" s="54">
        <v>0.65</v>
      </c>
      <c r="M20" s="54">
        <v>2.57</v>
      </c>
      <c r="N20" s="54">
        <v>1.27</v>
      </c>
      <c r="O20" s="54">
        <v>5.84</v>
      </c>
      <c r="P20" s="54">
        <v>2.86</v>
      </c>
      <c r="Q20" s="54">
        <v>5.83</v>
      </c>
      <c r="R20" s="54">
        <v>19.64</v>
      </c>
      <c r="S20" s="54">
        <v>17.93</v>
      </c>
      <c r="T20" s="54">
        <v>-12.79</v>
      </c>
      <c r="U20" s="54">
        <v>-2.5099999999999998</v>
      </c>
    </row>
    <row r="21" spans="1:21" x14ac:dyDescent="0.25">
      <c r="A21" s="56">
        <v>2026</v>
      </c>
      <c r="B21" s="56" t="s">
        <v>300</v>
      </c>
      <c r="C21" s="56" t="s">
        <v>301</v>
      </c>
      <c r="D21" s="57">
        <v>52060.21</v>
      </c>
      <c r="E21" s="58">
        <v>-8.92</v>
      </c>
      <c r="F21" s="56" t="s">
        <v>301</v>
      </c>
      <c r="G21" s="58">
        <v>-10.029999999999999</v>
      </c>
      <c r="H21" s="56"/>
      <c r="I21" s="58"/>
      <c r="J21" s="59"/>
      <c r="K21" s="58">
        <v>4.83</v>
      </c>
      <c r="L21" s="58">
        <v>4.58</v>
      </c>
      <c r="M21" s="58">
        <v>13.41</v>
      </c>
      <c r="N21" s="58">
        <v>-1.56</v>
      </c>
      <c r="O21" s="58"/>
      <c r="P21" s="58"/>
      <c r="Q21" s="58"/>
      <c r="R21" s="58"/>
      <c r="S21" s="58"/>
      <c r="T21" s="58"/>
      <c r="U21" s="58"/>
    </row>
  </sheetData>
  <mergeCells count="2">
    <mergeCell ref="A1:U1"/>
    <mergeCell ref="A2:U2"/>
  </mergeCells>
  <pageMargins left="0.3" right="0.3" top="0.4" bottom="0.4"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8"/>
  <sheetViews>
    <sheetView showGridLines="0" zoomScaleNormal="100" workbookViewId="0">
      <pane ySplit="4" topLeftCell="A5" activePane="bottomLeft" state="frozen"/>
      <selection pane="bottomLeft"/>
    </sheetView>
  </sheetViews>
  <sheetFormatPr defaultColWidth="8.7109375" defaultRowHeight="15" x14ac:dyDescent="0.25"/>
  <cols>
    <col min="1" max="1" width="7" customWidth="1"/>
    <col min="2" max="9" width="13" customWidth="1"/>
    <col min="10" max="10" width="24" customWidth="1"/>
    <col min="11" max="21" width="13" customWidth="1"/>
  </cols>
  <sheetData>
    <row r="1" spans="1:21" ht="18.75" x14ac:dyDescent="0.3">
      <c r="A1" s="69" t="s">
        <v>302</v>
      </c>
      <c r="B1" s="69"/>
      <c r="C1" s="69"/>
      <c r="D1" s="69"/>
      <c r="E1" s="69"/>
      <c r="F1" s="69"/>
      <c r="G1" s="69"/>
      <c r="H1" s="69"/>
      <c r="I1" s="69"/>
      <c r="J1" s="69"/>
      <c r="K1" s="69"/>
      <c r="L1" s="69"/>
      <c r="M1" s="69"/>
      <c r="N1" s="69"/>
      <c r="O1" s="69"/>
      <c r="P1" s="69"/>
      <c r="Q1" s="69"/>
      <c r="R1" s="69"/>
      <c r="S1" s="69"/>
      <c r="T1" s="69"/>
      <c r="U1" s="69"/>
    </row>
    <row r="2" spans="1:21" x14ac:dyDescent="0.25">
      <c r="A2" s="78" t="s">
        <v>190</v>
      </c>
      <c r="B2" s="78"/>
      <c r="C2" s="78"/>
      <c r="D2" s="78"/>
      <c r="E2" s="78"/>
      <c r="F2" s="78"/>
      <c r="G2" s="78"/>
      <c r="H2" s="78"/>
      <c r="I2" s="78"/>
      <c r="J2" s="78"/>
      <c r="K2" s="78"/>
      <c r="L2" s="78"/>
      <c r="M2" s="78"/>
      <c r="N2" s="78"/>
      <c r="O2" s="78"/>
      <c r="P2" s="78"/>
      <c r="Q2" s="78"/>
      <c r="R2" s="78"/>
      <c r="S2" s="78"/>
      <c r="T2" s="78"/>
      <c r="U2" s="78"/>
    </row>
    <row r="4" spans="1:21" ht="30" customHeight="1" x14ac:dyDescent="0.25">
      <c r="A4" s="36" t="s">
        <v>58</v>
      </c>
      <c r="B4" s="36" t="s">
        <v>191</v>
      </c>
      <c r="C4" s="36" t="s">
        <v>192</v>
      </c>
      <c r="D4" s="36" t="s">
        <v>193</v>
      </c>
      <c r="E4" s="36" t="s">
        <v>194</v>
      </c>
      <c r="F4" s="36" t="s">
        <v>195</v>
      </c>
      <c r="G4" s="36" t="s">
        <v>196</v>
      </c>
      <c r="H4" s="36" t="s">
        <v>197</v>
      </c>
      <c r="I4" s="36" t="s">
        <v>198</v>
      </c>
      <c r="J4" s="36" t="s">
        <v>119</v>
      </c>
      <c r="K4" s="36" t="s">
        <v>199</v>
      </c>
      <c r="L4" s="36" t="s">
        <v>200</v>
      </c>
      <c r="M4" s="36" t="s">
        <v>201</v>
      </c>
      <c r="N4" s="36" t="s">
        <v>202</v>
      </c>
      <c r="O4" s="36" t="s">
        <v>203</v>
      </c>
      <c r="P4" s="36" t="s">
        <v>204</v>
      </c>
      <c r="Q4" s="36" t="s">
        <v>205</v>
      </c>
      <c r="R4" s="36" t="s">
        <v>206</v>
      </c>
      <c r="S4" s="36" t="s">
        <v>207</v>
      </c>
      <c r="T4" s="36" t="s">
        <v>208</v>
      </c>
      <c r="U4" s="36" t="s">
        <v>209</v>
      </c>
    </row>
    <row r="5" spans="1:21" x14ac:dyDescent="0.25">
      <c r="A5" s="52">
        <v>1974</v>
      </c>
      <c r="B5" s="52" t="s">
        <v>222</v>
      </c>
      <c r="C5" s="52" t="s">
        <v>223</v>
      </c>
      <c r="D5" s="53">
        <v>89.87</v>
      </c>
      <c r="E5" s="54">
        <v>-0.09</v>
      </c>
      <c r="F5" s="52" t="s">
        <v>275</v>
      </c>
      <c r="G5" s="54">
        <v>-6.33</v>
      </c>
      <c r="H5" s="52" t="s">
        <v>225</v>
      </c>
      <c r="I5" s="54">
        <v>-35.729999999999997</v>
      </c>
      <c r="J5" s="55" t="s">
        <v>126</v>
      </c>
      <c r="K5" s="54">
        <v>-7.18</v>
      </c>
      <c r="L5" s="54">
        <v>-25.69</v>
      </c>
      <c r="M5" s="54">
        <v>-30.85</v>
      </c>
      <c r="N5" s="54">
        <v>6.69</v>
      </c>
      <c r="O5" s="54">
        <v>-10.62</v>
      </c>
      <c r="P5" s="54">
        <v>-9.6300000000000008</v>
      </c>
      <c r="Q5" s="54">
        <v>-15.01</v>
      </c>
      <c r="R5" s="54">
        <v>-9.7100000000000009</v>
      </c>
      <c r="S5" s="54">
        <v>40.6</v>
      </c>
      <c r="T5" s="54">
        <v>-35.729999999999997</v>
      </c>
      <c r="U5" s="54">
        <v>-32.4</v>
      </c>
    </row>
    <row r="6" spans="1:21" x14ac:dyDescent="0.25">
      <c r="A6" s="52">
        <v>1978</v>
      </c>
      <c r="B6" s="52" t="s">
        <v>226</v>
      </c>
      <c r="C6" s="52" t="s">
        <v>227</v>
      </c>
      <c r="D6" s="53">
        <v>112.4</v>
      </c>
      <c r="E6" s="54">
        <v>6.61</v>
      </c>
      <c r="F6" s="52" t="s">
        <v>226</v>
      </c>
      <c r="G6" s="54">
        <v>0</v>
      </c>
      <c r="H6" s="52" t="s">
        <v>303</v>
      </c>
      <c r="I6" s="54">
        <v>-16.93</v>
      </c>
      <c r="J6" s="55" t="s">
        <v>125</v>
      </c>
      <c r="K6" s="54">
        <v>10.16</v>
      </c>
      <c r="L6" s="54">
        <v>-5.7</v>
      </c>
      <c r="M6" s="54">
        <v>-4.4400000000000004</v>
      </c>
      <c r="N6" s="54">
        <v>0.38</v>
      </c>
      <c r="O6" s="54">
        <v>14.35</v>
      </c>
      <c r="P6" s="54">
        <v>14.99</v>
      </c>
      <c r="Q6" s="54">
        <v>15.87</v>
      </c>
      <c r="R6" s="54">
        <v>22.59</v>
      </c>
      <c r="S6" s="54">
        <v>38.43</v>
      </c>
      <c r="T6" s="54">
        <v>-16.93</v>
      </c>
      <c r="U6" s="54">
        <v>-1.66</v>
      </c>
    </row>
    <row r="7" spans="1:21" x14ac:dyDescent="0.25">
      <c r="A7" s="52">
        <v>1982</v>
      </c>
      <c r="B7" s="52" t="s">
        <v>230</v>
      </c>
      <c r="C7" s="52" t="s">
        <v>231</v>
      </c>
      <c r="D7" s="53">
        <v>209.92</v>
      </c>
      <c r="E7" s="54">
        <v>-13.18</v>
      </c>
      <c r="F7" s="52" t="s">
        <v>304</v>
      </c>
      <c r="G7" s="54">
        <v>-14.29</v>
      </c>
      <c r="H7" s="52" t="s">
        <v>305</v>
      </c>
      <c r="I7" s="54">
        <v>-12.3</v>
      </c>
      <c r="J7" s="55" t="s">
        <v>126</v>
      </c>
      <c r="K7" s="54">
        <v>-6.67</v>
      </c>
      <c r="L7" s="54">
        <v>11.01</v>
      </c>
      <c r="M7" s="54">
        <v>25.81</v>
      </c>
      <c r="N7" s="54">
        <v>0.15</v>
      </c>
      <c r="O7" s="54">
        <v>36.229999999999997</v>
      </c>
      <c r="P7" s="54">
        <v>27.7</v>
      </c>
      <c r="Q7" s="54">
        <v>40.82</v>
      </c>
      <c r="R7" s="54">
        <v>10.87</v>
      </c>
      <c r="S7" s="54">
        <v>45.6</v>
      </c>
      <c r="T7" s="54">
        <v>-12.3</v>
      </c>
      <c r="U7" s="54">
        <v>29.89</v>
      </c>
    </row>
    <row r="8" spans="1:21" x14ac:dyDescent="0.25">
      <c r="A8" s="52">
        <v>1986</v>
      </c>
      <c r="B8" s="52" t="s">
        <v>233</v>
      </c>
      <c r="C8" s="52" t="s">
        <v>234</v>
      </c>
      <c r="D8" s="53">
        <v>347.1</v>
      </c>
      <c r="E8" s="54">
        <v>9.16</v>
      </c>
      <c r="F8" s="52" t="s">
        <v>306</v>
      </c>
      <c r="G8" s="54">
        <v>-4.03</v>
      </c>
      <c r="H8" s="52" t="s">
        <v>282</v>
      </c>
      <c r="I8" s="54">
        <v>-8.9700000000000006</v>
      </c>
      <c r="J8" s="55" t="s">
        <v>124</v>
      </c>
      <c r="K8" s="54">
        <v>4.3499999999999996</v>
      </c>
      <c r="L8" s="54">
        <v>-4.6500000000000004</v>
      </c>
      <c r="M8" s="54">
        <v>-6.94</v>
      </c>
      <c r="N8" s="54">
        <v>-2.4300000000000002</v>
      </c>
      <c r="O8" s="54">
        <v>14.04</v>
      </c>
      <c r="P8" s="54">
        <v>13.22</v>
      </c>
      <c r="Q8" s="54">
        <v>13.86</v>
      </c>
      <c r="R8" s="54">
        <v>23.6</v>
      </c>
      <c r="S8" s="54">
        <v>24.38</v>
      </c>
      <c r="T8" s="54">
        <v>-22.96</v>
      </c>
      <c r="U8" s="54">
        <v>-19.71</v>
      </c>
    </row>
    <row r="9" spans="1:21" x14ac:dyDescent="0.25">
      <c r="A9" s="52">
        <v>1990</v>
      </c>
      <c r="B9" s="52" t="s">
        <v>236</v>
      </c>
      <c r="C9" s="52" t="s">
        <v>283</v>
      </c>
      <c r="D9" s="53">
        <v>369.8</v>
      </c>
      <c r="E9" s="54">
        <v>25.15</v>
      </c>
      <c r="F9" s="52" t="s">
        <v>236</v>
      </c>
      <c r="G9" s="54">
        <v>0</v>
      </c>
      <c r="H9" s="52" t="s">
        <v>307</v>
      </c>
      <c r="I9" s="54">
        <v>-30.21</v>
      </c>
      <c r="J9" s="55" t="s">
        <v>125</v>
      </c>
      <c r="K9" s="54">
        <v>0.24</v>
      </c>
      <c r="L9" s="54">
        <v>-23.75</v>
      </c>
      <c r="M9" s="54">
        <v>-24.74</v>
      </c>
      <c r="N9" s="54">
        <v>0.82</v>
      </c>
      <c r="O9" s="54">
        <v>6.11</v>
      </c>
      <c r="P9" s="54">
        <v>9.16</v>
      </c>
      <c r="Q9" s="54">
        <v>7.3</v>
      </c>
      <c r="R9" s="54">
        <v>36.61</v>
      </c>
      <c r="S9" s="54">
        <v>56.41</v>
      </c>
      <c r="T9" s="54">
        <v>-30.21</v>
      </c>
      <c r="U9" s="54">
        <v>-23.73</v>
      </c>
    </row>
    <row r="10" spans="1:21" x14ac:dyDescent="0.25">
      <c r="A10" s="52">
        <v>1994</v>
      </c>
      <c r="B10" s="52" t="s">
        <v>240</v>
      </c>
      <c r="C10" s="52" t="s">
        <v>241</v>
      </c>
      <c r="D10" s="53">
        <v>724.1</v>
      </c>
      <c r="E10" s="54">
        <v>0.56999999999999995</v>
      </c>
      <c r="F10" s="52" t="s">
        <v>308</v>
      </c>
      <c r="G10" s="54">
        <v>-7.79</v>
      </c>
      <c r="H10" s="52" t="s">
        <v>309</v>
      </c>
      <c r="I10" s="54">
        <v>-3.39</v>
      </c>
      <c r="J10" s="55" t="s">
        <v>126</v>
      </c>
      <c r="K10" s="54">
        <v>5.14</v>
      </c>
      <c r="L10" s="54">
        <v>5.69</v>
      </c>
      <c r="M10" s="54">
        <v>1.17</v>
      </c>
      <c r="N10" s="54">
        <v>0.47</v>
      </c>
      <c r="O10" s="54">
        <v>35.1</v>
      </c>
      <c r="P10" s="54">
        <v>29.33</v>
      </c>
      <c r="Q10" s="54">
        <v>37.89</v>
      </c>
      <c r="R10" s="54">
        <v>30.06</v>
      </c>
      <c r="S10" s="54">
        <v>33.869999999999997</v>
      </c>
      <c r="T10" s="54">
        <v>-3.39</v>
      </c>
      <c r="U10" s="54">
        <v>3.13</v>
      </c>
    </row>
    <row r="11" spans="1:21" x14ac:dyDescent="0.25">
      <c r="A11" s="52">
        <v>1998</v>
      </c>
      <c r="B11" s="52" t="s">
        <v>244</v>
      </c>
      <c r="C11" s="52" t="s">
        <v>310</v>
      </c>
      <c r="D11" s="53">
        <v>1419.11</v>
      </c>
      <c r="E11" s="54">
        <v>23.8</v>
      </c>
      <c r="F11" s="52" t="s">
        <v>288</v>
      </c>
      <c r="G11" s="54">
        <v>-14.65</v>
      </c>
      <c r="H11" s="52" t="s">
        <v>289</v>
      </c>
      <c r="I11" s="54">
        <v>-16.579999999999998</v>
      </c>
      <c r="J11" s="55" t="s">
        <v>123</v>
      </c>
      <c r="K11" s="54">
        <v>5.19</v>
      </c>
      <c r="L11" s="54">
        <v>6</v>
      </c>
      <c r="M11" s="54">
        <v>7.96</v>
      </c>
      <c r="N11" s="54">
        <v>0.41</v>
      </c>
      <c r="O11" s="54">
        <v>28.58</v>
      </c>
      <c r="P11" s="54">
        <v>33.03</v>
      </c>
      <c r="Q11" s="54">
        <v>37.31</v>
      </c>
      <c r="R11" s="54">
        <v>64.69</v>
      </c>
      <c r="S11" s="54">
        <v>59.46</v>
      </c>
      <c r="T11" s="54">
        <v>-16.579999999999998</v>
      </c>
      <c r="U11" s="54">
        <v>25.55</v>
      </c>
    </row>
    <row r="12" spans="1:21" x14ac:dyDescent="0.25">
      <c r="A12" s="52">
        <v>2002</v>
      </c>
      <c r="B12" s="52" t="s">
        <v>247</v>
      </c>
      <c r="C12" s="52" t="s">
        <v>248</v>
      </c>
      <c r="D12" s="53">
        <v>1108.49</v>
      </c>
      <c r="E12" s="54">
        <v>55.64</v>
      </c>
      <c r="F12" s="52" t="s">
        <v>311</v>
      </c>
      <c r="G12" s="54">
        <v>-16.2</v>
      </c>
      <c r="H12" s="52" t="s">
        <v>291</v>
      </c>
      <c r="I12" s="54">
        <v>-31.61</v>
      </c>
      <c r="J12" s="55" t="s">
        <v>123</v>
      </c>
      <c r="K12" s="54">
        <v>-13.22</v>
      </c>
      <c r="L12" s="54">
        <v>-23.54</v>
      </c>
      <c r="M12" s="54">
        <v>-19.22</v>
      </c>
      <c r="N12" s="54">
        <v>1.79</v>
      </c>
      <c r="O12" s="54">
        <v>-12.89</v>
      </c>
      <c r="P12" s="54">
        <v>-12.82</v>
      </c>
      <c r="Q12" s="54">
        <v>-21.24</v>
      </c>
      <c r="R12" s="54">
        <v>35.68</v>
      </c>
      <c r="S12" s="54">
        <v>27.47</v>
      </c>
      <c r="T12" s="54">
        <v>-31.61</v>
      </c>
      <c r="U12" s="54">
        <v>-26.86</v>
      </c>
    </row>
    <row r="13" spans="1:21" x14ac:dyDescent="0.25">
      <c r="A13" s="52">
        <v>2006</v>
      </c>
      <c r="B13" s="52" t="s">
        <v>251</v>
      </c>
      <c r="C13" s="52" t="s">
        <v>292</v>
      </c>
      <c r="D13" s="53">
        <v>2302.19</v>
      </c>
      <c r="E13" s="54">
        <v>-7.53</v>
      </c>
      <c r="F13" s="52" t="s">
        <v>292</v>
      </c>
      <c r="G13" s="54">
        <v>-9.01</v>
      </c>
      <c r="H13" s="52" t="s">
        <v>312</v>
      </c>
      <c r="I13" s="54">
        <v>-3.71</v>
      </c>
      <c r="J13" s="55" t="s">
        <v>126</v>
      </c>
      <c r="K13" s="54">
        <v>-3.34</v>
      </c>
      <c r="L13" s="54">
        <v>13.04</v>
      </c>
      <c r="M13" s="54">
        <v>15.21</v>
      </c>
      <c r="N13" s="54">
        <v>-1.81</v>
      </c>
      <c r="O13" s="54">
        <v>23.65</v>
      </c>
      <c r="P13" s="54">
        <v>24.79</v>
      </c>
      <c r="Q13" s="54">
        <v>24.56</v>
      </c>
      <c r="R13" s="54">
        <v>15.4</v>
      </c>
      <c r="S13" s="54">
        <v>29.6</v>
      </c>
      <c r="T13" s="54">
        <v>-3.71</v>
      </c>
      <c r="U13" s="54">
        <v>10.83</v>
      </c>
    </row>
    <row r="14" spans="1:21" x14ac:dyDescent="0.25">
      <c r="A14" s="52">
        <v>2010</v>
      </c>
      <c r="B14" s="52" t="s">
        <v>254</v>
      </c>
      <c r="C14" s="52" t="s">
        <v>255</v>
      </c>
      <c r="D14" s="53">
        <v>2422.14</v>
      </c>
      <c r="E14" s="54">
        <v>-10.1</v>
      </c>
      <c r="F14" s="52" t="s">
        <v>313</v>
      </c>
      <c r="G14" s="54">
        <v>-13.51</v>
      </c>
      <c r="H14" s="52" t="s">
        <v>295</v>
      </c>
      <c r="I14" s="54">
        <v>-1.17</v>
      </c>
      <c r="J14" s="55" t="s">
        <v>126</v>
      </c>
      <c r="K14" s="54">
        <v>8.77</v>
      </c>
      <c r="L14" s="54">
        <v>10.33</v>
      </c>
      <c r="M14" s="54">
        <v>15.48</v>
      </c>
      <c r="N14" s="54">
        <v>0.28000000000000003</v>
      </c>
      <c r="O14" s="54">
        <v>26.28</v>
      </c>
      <c r="P14" s="54">
        <v>24.1</v>
      </c>
      <c r="Q14" s="54">
        <v>29.03</v>
      </c>
      <c r="R14" s="54">
        <v>11.56</v>
      </c>
      <c r="S14" s="54">
        <v>25.57</v>
      </c>
      <c r="T14" s="54">
        <v>-1.99</v>
      </c>
      <c r="U14" s="54">
        <v>13.41</v>
      </c>
    </row>
    <row r="15" spans="1:21" x14ac:dyDescent="0.25">
      <c r="A15" s="52">
        <v>2014</v>
      </c>
      <c r="B15" s="52" t="s">
        <v>258</v>
      </c>
      <c r="C15" s="52" t="s">
        <v>259</v>
      </c>
      <c r="D15" s="53">
        <v>4356.1000000000004</v>
      </c>
      <c r="E15" s="54">
        <v>-8.18</v>
      </c>
      <c r="F15" s="52" t="s">
        <v>296</v>
      </c>
      <c r="G15" s="54">
        <v>-13.83</v>
      </c>
      <c r="H15" s="52" t="s">
        <v>314</v>
      </c>
      <c r="I15" s="54">
        <v>2.31</v>
      </c>
      <c r="J15" s="55" t="s">
        <v>126</v>
      </c>
      <c r="K15" s="54">
        <v>8.31</v>
      </c>
      <c r="L15" s="54">
        <v>16.52</v>
      </c>
      <c r="M15" s="54">
        <v>17.57</v>
      </c>
      <c r="N15" s="54">
        <v>8.09</v>
      </c>
      <c r="O15" s="54">
        <v>22.18</v>
      </c>
      <c r="P15" s="54">
        <v>24.58</v>
      </c>
      <c r="Q15" s="54">
        <v>21.26</v>
      </c>
      <c r="R15" s="54">
        <v>14.39</v>
      </c>
      <c r="S15" s="54">
        <v>21.77</v>
      </c>
      <c r="T15" s="54">
        <v>-0.2</v>
      </c>
      <c r="U15" s="54">
        <v>13.82</v>
      </c>
    </row>
    <row r="16" spans="1:21" x14ac:dyDescent="0.25">
      <c r="A16" s="52">
        <v>2018</v>
      </c>
      <c r="B16" s="52" t="s">
        <v>262</v>
      </c>
      <c r="C16" s="52" t="s">
        <v>263</v>
      </c>
      <c r="D16" s="53">
        <v>6922.83</v>
      </c>
      <c r="E16" s="54">
        <v>10.65</v>
      </c>
      <c r="F16" s="52" t="s">
        <v>262</v>
      </c>
      <c r="G16" s="54">
        <v>-0.23</v>
      </c>
      <c r="H16" s="52" t="s">
        <v>315</v>
      </c>
      <c r="I16" s="54">
        <v>-19.190000000000001</v>
      </c>
      <c r="J16" s="55" t="s">
        <v>125</v>
      </c>
      <c r="K16" s="54">
        <v>0.74</v>
      </c>
      <c r="L16" s="54">
        <v>-5.99</v>
      </c>
      <c r="M16" s="54">
        <v>-9.81</v>
      </c>
      <c r="N16" s="54">
        <v>0.56999999999999995</v>
      </c>
      <c r="O16" s="54">
        <v>4.92</v>
      </c>
      <c r="P16" s="54">
        <v>-1.1000000000000001</v>
      </c>
      <c r="Q16" s="54">
        <v>2.12</v>
      </c>
      <c r="R16" s="54">
        <v>9.43</v>
      </c>
      <c r="S16" s="54">
        <v>22.38</v>
      </c>
      <c r="T16" s="54">
        <v>-19.190000000000001</v>
      </c>
      <c r="U16" s="54">
        <v>-15.05</v>
      </c>
    </row>
    <row r="17" spans="1:21" x14ac:dyDescent="0.25">
      <c r="A17" s="52">
        <v>2022</v>
      </c>
      <c r="B17" s="52" t="s">
        <v>265</v>
      </c>
      <c r="C17" s="52" t="s">
        <v>266</v>
      </c>
      <c r="D17" s="53">
        <v>10088.83</v>
      </c>
      <c r="E17" s="54">
        <v>26.67</v>
      </c>
      <c r="F17" s="52" t="s">
        <v>267</v>
      </c>
      <c r="G17" s="54">
        <v>-15.69</v>
      </c>
      <c r="H17" s="52" t="s">
        <v>316</v>
      </c>
      <c r="I17" s="54">
        <v>-20.13</v>
      </c>
      <c r="J17" s="55" t="s">
        <v>124</v>
      </c>
      <c r="K17" s="54">
        <v>-18.420000000000002</v>
      </c>
      <c r="L17" s="54">
        <v>-12.49</v>
      </c>
      <c r="M17" s="54">
        <v>-11.69</v>
      </c>
      <c r="N17" s="54">
        <v>2.09</v>
      </c>
      <c r="O17" s="54">
        <v>9.34</v>
      </c>
      <c r="P17" s="54">
        <v>7.92</v>
      </c>
      <c r="Q17" s="54">
        <v>6.77</v>
      </c>
      <c r="R17" s="54">
        <v>36.700000000000003</v>
      </c>
      <c r="S17" s="54">
        <v>35.11</v>
      </c>
      <c r="T17" s="54">
        <v>-20.13</v>
      </c>
      <c r="U17" s="54">
        <v>-15.46</v>
      </c>
    </row>
    <row r="18" spans="1:21" x14ac:dyDescent="0.25">
      <c r="A18" s="56">
        <v>2026</v>
      </c>
      <c r="B18" s="56" t="s">
        <v>300</v>
      </c>
      <c r="C18" s="56" t="s">
        <v>301</v>
      </c>
      <c r="D18" s="57">
        <v>25866.15</v>
      </c>
      <c r="E18" s="58">
        <v>-12.18</v>
      </c>
      <c r="F18" s="56" t="s">
        <v>317</v>
      </c>
      <c r="G18" s="58">
        <v>-14.41</v>
      </c>
      <c r="H18" s="56"/>
      <c r="I18" s="58"/>
      <c r="J18" s="59"/>
      <c r="K18" s="58">
        <v>15.66</v>
      </c>
      <c r="L18" s="58">
        <v>4.4800000000000004</v>
      </c>
      <c r="M18" s="58">
        <v>17.05</v>
      </c>
      <c r="N18" s="58">
        <v>-1.78</v>
      </c>
      <c r="O18" s="58"/>
      <c r="P18" s="58"/>
      <c r="Q18" s="58"/>
      <c r="R18" s="58"/>
      <c r="S18" s="58"/>
      <c r="T18" s="58"/>
      <c r="U18" s="58"/>
    </row>
  </sheetData>
  <mergeCells count="2">
    <mergeCell ref="A1:U1"/>
    <mergeCell ref="A2:U2"/>
  </mergeCells>
  <pageMargins left="0.3" right="0.3" top="0.4" bottom="0.4"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D165"/>
  <sheetViews>
    <sheetView showGridLines="0" zoomScaleNormal="100" workbookViewId="0">
      <pane ySplit="4" topLeftCell="A5" activePane="bottomLeft" state="frozen"/>
      <selection pane="bottomLeft"/>
    </sheetView>
  </sheetViews>
  <sheetFormatPr defaultColWidth="8.7109375" defaultRowHeight="15" x14ac:dyDescent="0.25"/>
  <cols>
    <col min="1" max="1" width="20" customWidth="1"/>
    <col min="2" max="4" width="16" customWidth="1"/>
  </cols>
  <sheetData>
    <row r="1" spans="1:4" ht="17.25" x14ac:dyDescent="0.3">
      <c r="A1" s="79" t="s">
        <v>318</v>
      </c>
      <c r="B1" s="79"/>
      <c r="C1" s="79"/>
      <c r="D1" s="79"/>
    </row>
    <row r="2" spans="1:4" x14ac:dyDescent="0.25">
      <c r="A2" s="78" t="s">
        <v>319</v>
      </c>
      <c r="B2" s="78"/>
      <c r="C2" s="78"/>
      <c r="D2" s="78"/>
    </row>
    <row r="4" spans="1:4" ht="30" customHeight="1" x14ac:dyDescent="0.25">
      <c r="A4" s="36" t="s">
        <v>320</v>
      </c>
      <c r="B4" s="36" t="s">
        <v>321</v>
      </c>
      <c r="C4" s="36" t="s">
        <v>322</v>
      </c>
      <c r="D4" s="36" t="s">
        <v>323</v>
      </c>
    </row>
    <row r="5" spans="1:4" x14ac:dyDescent="0.25">
      <c r="A5" s="60">
        <v>-30</v>
      </c>
      <c r="B5" s="61">
        <v>96.83</v>
      </c>
      <c r="C5" s="61">
        <v>97.63</v>
      </c>
      <c r="D5" s="61">
        <v>96.5</v>
      </c>
    </row>
    <row r="6" spans="1:4" x14ac:dyDescent="0.25">
      <c r="A6" s="60">
        <v>-29</v>
      </c>
      <c r="B6" s="61">
        <v>97.19</v>
      </c>
      <c r="C6" s="61">
        <v>97.48</v>
      </c>
      <c r="D6" s="61">
        <v>96.7</v>
      </c>
    </row>
    <row r="7" spans="1:4" x14ac:dyDescent="0.25">
      <c r="A7" s="60">
        <v>-28</v>
      </c>
      <c r="B7" s="61">
        <v>96.42</v>
      </c>
      <c r="C7" s="61">
        <v>97.32</v>
      </c>
      <c r="D7" s="61">
        <v>96.45</v>
      </c>
    </row>
    <row r="8" spans="1:4" x14ac:dyDescent="0.25">
      <c r="A8" s="60">
        <v>-27</v>
      </c>
      <c r="B8" s="61">
        <v>96.31</v>
      </c>
      <c r="C8" s="61">
        <v>98.76</v>
      </c>
      <c r="D8" s="61">
        <v>98.31</v>
      </c>
    </row>
    <row r="9" spans="1:4" x14ac:dyDescent="0.25">
      <c r="A9" s="60">
        <v>-26</v>
      </c>
      <c r="B9" s="61">
        <v>96.54</v>
      </c>
      <c r="C9" s="61">
        <v>98.62</v>
      </c>
      <c r="D9" s="61">
        <v>97.86</v>
      </c>
    </row>
    <row r="10" spans="1:4" x14ac:dyDescent="0.25">
      <c r="A10" s="60">
        <v>-25</v>
      </c>
      <c r="B10" s="61">
        <v>96.65</v>
      </c>
      <c r="C10" s="61">
        <v>100.22</v>
      </c>
      <c r="D10" s="61">
        <v>102.7</v>
      </c>
    </row>
    <row r="11" spans="1:4" x14ac:dyDescent="0.25">
      <c r="A11" s="60">
        <v>-24</v>
      </c>
      <c r="B11" s="61">
        <v>96.34</v>
      </c>
      <c r="C11" s="61">
        <v>101.2</v>
      </c>
      <c r="D11" s="61">
        <v>100.41</v>
      </c>
    </row>
    <row r="12" spans="1:4" x14ac:dyDescent="0.25">
      <c r="A12" s="60">
        <v>-23</v>
      </c>
      <c r="B12" s="61">
        <v>95.84</v>
      </c>
      <c r="C12" s="61">
        <v>101.54</v>
      </c>
      <c r="D12" s="61">
        <v>99.65</v>
      </c>
    </row>
    <row r="13" spans="1:4" x14ac:dyDescent="0.25">
      <c r="A13" s="60">
        <v>-22</v>
      </c>
      <c r="B13" s="61">
        <v>95.85</v>
      </c>
      <c r="C13" s="61">
        <v>100.54</v>
      </c>
      <c r="D13" s="61">
        <v>100.23</v>
      </c>
    </row>
    <row r="14" spans="1:4" x14ac:dyDescent="0.25">
      <c r="A14" s="60">
        <v>-21</v>
      </c>
      <c r="B14" s="61">
        <v>96.02</v>
      </c>
      <c r="C14" s="61">
        <v>98.29</v>
      </c>
      <c r="D14" s="61">
        <v>98.75</v>
      </c>
    </row>
    <row r="15" spans="1:4" x14ac:dyDescent="0.25">
      <c r="A15" s="60">
        <v>-20</v>
      </c>
      <c r="B15" s="61">
        <v>96.12</v>
      </c>
      <c r="C15" s="61">
        <v>98.28</v>
      </c>
      <c r="D15" s="61">
        <v>97.48</v>
      </c>
    </row>
    <row r="16" spans="1:4" x14ac:dyDescent="0.25">
      <c r="A16" s="60">
        <v>-19</v>
      </c>
      <c r="B16" s="61">
        <v>96.26</v>
      </c>
      <c r="C16" s="61">
        <v>96.84</v>
      </c>
      <c r="D16" s="61">
        <v>94.91</v>
      </c>
    </row>
    <row r="17" spans="1:4" x14ac:dyDescent="0.25">
      <c r="A17" s="60">
        <v>-18</v>
      </c>
      <c r="B17" s="61">
        <v>96.59</v>
      </c>
      <c r="C17" s="61">
        <v>96.47</v>
      </c>
      <c r="D17" s="61">
        <v>94.11</v>
      </c>
    </row>
    <row r="18" spans="1:4" x14ac:dyDescent="0.25">
      <c r="A18" s="60">
        <v>-17</v>
      </c>
      <c r="B18" s="61">
        <v>97.08</v>
      </c>
      <c r="C18" s="61">
        <v>97.89</v>
      </c>
      <c r="D18" s="61">
        <v>94.07</v>
      </c>
    </row>
    <row r="19" spans="1:4" x14ac:dyDescent="0.25">
      <c r="A19" s="60">
        <v>-16</v>
      </c>
      <c r="B19" s="61">
        <v>97.36</v>
      </c>
      <c r="C19" s="61">
        <v>100.04</v>
      </c>
      <c r="D19" s="61">
        <v>99.54</v>
      </c>
    </row>
    <row r="20" spans="1:4" x14ac:dyDescent="0.25">
      <c r="A20" s="60">
        <v>-15</v>
      </c>
      <c r="B20" s="61">
        <v>97.6</v>
      </c>
      <c r="C20" s="61">
        <v>98.83</v>
      </c>
      <c r="D20" s="61">
        <v>98.02</v>
      </c>
    </row>
    <row r="21" spans="1:4" x14ac:dyDescent="0.25">
      <c r="A21" s="60">
        <v>-14</v>
      </c>
      <c r="B21" s="61">
        <v>97.64</v>
      </c>
      <c r="C21" s="61">
        <v>98.86</v>
      </c>
      <c r="D21" s="61">
        <v>96.45</v>
      </c>
    </row>
    <row r="22" spans="1:4" x14ac:dyDescent="0.25">
      <c r="A22" s="60">
        <v>-13</v>
      </c>
      <c r="B22" s="61">
        <v>97.82</v>
      </c>
      <c r="C22" s="61">
        <v>99</v>
      </c>
      <c r="D22" s="61">
        <v>96.64</v>
      </c>
    </row>
    <row r="23" spans="1:4" x14ac:dyDescent="0.25">
      <c r="A23" s="60">
        <v>-12</v>
      </c>
      <c r="B23" s="61">
        <v>98.09</v>
      </c>
      <c r="C23" s="61">
        <v>99.12</v>
      </c>
      <c r="D23" s="61">
        <v>97.31</v>
      </c>
    </row>
    <row r="24" spans="1:4" x14ac:dyDescent="0.25">
      <c r="A24" s="60">
        <v>-11</v>
      </c>
      <c r="B24" s="61">
        <v>98.45</v>
      </c>
      <c r="C24" s="61">
        <v>99.23</v>
      </c>
      <c r="D24" s="61">
        <v>97.5</v>
      </c>
    </row>
    <row r="25" spans="1:4" x14ac:dyDescent="0.25">
      <c r="A25" s="60">
        <v>-10</v>
      </c>
      <c r="B25" s="61">
        <v>98.34</v>
      </c>
      <c r="C25" s="61">
        <v>99.01</v>
      </c>
      <c r="D25" s="61">
        <v>97.19</v>
      </c>
    </row>
    <row r="26" spans="1:4" x14ac:dyDescent="0.25">
      <c r="A26" s="60">
        <v>-9</v>
      </c>
      <c r="B26" s="61">
        <v>98.06</v>
      </c>
      <c r="C26" s="61">
        <v>99.37</v>
      </c>
      <c r="D26" s="61">
        <v>96.91</v>
      </c>
    </row>
    <row r="27" spans="1:4" x14ac:dyDescent="0.25">
      <c r="A27" s="60">
        <v>-8</v>
      </c>
      <c r="B27" s="61">
        <v>98.34</v>
      </c>
      <c r="C27" s="61">
        <v>99.72</v>
      </c>
      <c r="D27" s="61">
        <v>97.96</v>
      </c>
    </row>
    <row r="28" spans="1:4" x14ac:dyDescent="0.25">
      <c r="A28" s="60">
        <v>-7</v>
      </c>
      <c r="B28" s="61">
        <v>98.32</v>
      </c>
      <c r="C28" s="61">
        <v>99.37</v>
      </c>
      <c r="D28" s="61">
        <v>97.55</v>
      </c>
    </row>
    <row r="29" spans="1:4" x14ac:dyDescent="0.25">
      <c r="A29" s="60">
        <v>-6</v>
      </c>
      <c r="B29" s="61">
        <v>97.87</v>
      </c>
      <c r="C29" s="61">
        <v>101.09</v>
      </c>
      <c r="D29" s="61">
        <v>99.79</v>
      </c>
    </row>
    <row r="30" spans="1:4" x14ac:dyDescent="0.25">
      <c r="A30" s="60">
        <v>-5</v>
      </c>
      <c r="B30" s="61">
        <v>98.18</v>
      </c>
      <c r="C30" s="61">
        <v>101.33</v>
      </c>
      <c r="D30" s="61">
        <v>98.89</v>
      </c>
    </row>
    <row r="31" spans="1:4" x14ac:dyDescent="0.25">
      <c r="A31" s="60">
        <v>-4</v>
      </c>
      <c r="B31" s="61">
        <v>98.67</v>
      </c>
      <c r="C31" s="61">
        <v>100.46</v>
      </c>
      <c r="D31" s="61">
        <v>98.8</v>
      </c>
    </row>
    <row r="32" spans="1:4" x14ac:dyDescent="0.25">
      <c r="A32" s="60">
        <v>-3</v>
      </c>
      <c r="B32" s="61">
        <v>98.74</v>
      </c>
      <c r="C32" s="61">
        <v>104</v>
      </c>
      <c r="D32" s="61">
        <v>104.9</v>
      </c>
    </row>
    <row r="33" spans="1:4" x14ac:dyDescent="0.25">
      <c r="A33" s="60">
        <v>-2</v>
      </c>
      <c r="B33" s="61">
        <v>99.11</v>
      </c>
      <c r="C33" s="61">
        <v>100.99</v>
      </c>
      <c r="D33" s="61">
        <v>101.85</v>
      </c>
    </row>
    <row r="34" spans="1:4" x14ac:dyDescent="0.25">
      <c r="A34" s="60">
        <v>-1</v>
      </c>
      <c r="B34" s="61">
        <v>99.57</v>
      </c>
      <c r="C34" s="61">
        <v>101.24</v>
      </c>
      <c r="D34" s="61">
        <v>101.05</v>
      </c>
    </row>
    <row r="35" spans="1:4" x14ac:dyDescent="0.25">
      <c r="A35" s="60">
        <v>0</v>
      </c>
      <c r="B35" s="61">
        <v>100</v>
      </c>
      <c r="C35" s="61">
        <v>100</v>
      </c>
      <c r="D35" s="61">
        <v>100</v>
      </c>
    </row>
    <row r="36" spans="1:4" x14ac:dyDescent="0.25">
      <c r="A36" s="60">
        <v>1</v>
      </c>
      <c r="B36" s="61">
        <v>100.43</v>
      </c>
      <c r="C36" s="61">
        <v>99.54</v>
      </c>
      <c r="D36" s="61">
        <v>100.69</v>
      </c>
    </row>
    <row r="37" spans="1:4" x14ac:dyDescent="0.25">
      <c r="A37" s="60">
        <v>2</v>
      </c>
      <c r="B37" s="61">
        <v>100.77</v>
      </c>
      <c r="C37" s="61">
        <v>99.88</v>
      </c>
      <c r="D37" s="61">
        <v>99.57</v>
      </c>
    </row>
    <row r="38" spans="1:4" x14ac:dyDescent="0.25">
      <c r="A38" s="60">
        <v>3</v>
      </c>
      <c r="B38" s="61">
        <v>100.96</v>
      </c>
      <c r="C38" s="61">
        <v>97.76</v>
      </c>
      <c r="D38" s="61">
        <v>96.2</v>
      </c>
    </row>
    <row r="39" spans="1:4" x14ac:dyDescent="0.25">
      <c r="A39" s="60">
        <v>4</v>
      </c>
      <c r="B39" s="61">
        <v>100.7</v>
      </c>
      <c r="C39" s="61">
        <v>97.65</v>
      </c>
      <c r="D39" s="61">
        <v>94.61</v>
      </c>
    </row>
    <row r="40" spans="1:4" x14ac:dyDescent="0.25">
      <c r="A40" s="60">
        <v>5</v>
      </c>
      <c r="B40" s="61">
        <v>100.72</v>
      </c>
      <c r="C40" s="61">
        <v>100.75</v>
      </c>
      <c r="D40" s="61">
        <v>97.52</v>
      </c>
    </row>
    <row r="41" spans="1:4" x14ac:dyDescent="0.25">
      <c r="A41" s="60">
        <v>6</v>
      </c>
      <c r="B41" s="61">
        <v>100.71</v>
      </c>
      <c r="C41" s="61">
        <v>101.21</v>
      </c>
      <c r="D41" s="61">
        <v>99.13</v>
      </c>
    </row>
    <row r="42" spans="1:4" x14ac:dyDescent="0.25">
      <c r="A42" s="60">
        <v>7</v>
      </c>
      <c r="B42" s="61">
        <v>100.63</v>
      </c>
      <c r="C42" s="61">
        <v>100.31</v>
      </c>
      <c r="D42" s="61">
        <v>98.49</v>
      </c>
    </row>
    <row r="43" spans="1:4" x14ac:dyDescent="0.25">
      <c r="A43" s="60">
        <v>8</v>
      </c>
      <c r="B43" s="61">
        <v>100.47</v>
      </c>
      <c r="C43" s="61">
        <v>100.65</v>
      </c>
      <c r="D43" s="61">
        <v>99.51</v>
      </c>
    </row>
    <row r="44" spans="1:4" x14ac:dyDescent="0.25">
      <c r="A44" s="60">
        <v>9</v>
      </c>
      <c r="B44" s="61">
        <v>99.88</v>
      </c>
      <c r="C44" s="61">
        <v>100.69</v>
      </c>
      <c r="D44" s="61">
        <v>99.36</v>
      </c>
    </row>
    <row r="45" spans="1:4" x14ac:dyDescent="0.25">
      <c r="A45" s="60">
        <v>10</v>
      </c>
      <c r="B45" s="61">
        <v>99.32</v>
      </c>
      <c r="C45" s="61">
        <v>100.73</v>
      </c>
      <c r="D45" s="61">
        <v>99.47</v>
      </c>
    </row>
    <row r="46" spans="1:4" x14ac:dyDescent="0.25">
      <c r="A46" s="60">
        <v>11</v>
      </c>
      <c r="B46" s="61">
        <v>99.71</v>
      </c>
      <c r="C46" s="61">
        <v>100.58</v>
      </c>
      <c r="D46" s="61">
        <v>99.61</v>
      </c>
    </row>
    <row r="47" spans="1:4" x14ac:dyDescent="0.25">
      <c r="A47" s="60">
        <v>12</v>
      </c>
      <c r="B47" s="61">
        <v>100.26</v>
      </c>
      <c r="C47" s="61">
        <v>100.14</v>
      </c>
      <c r="D47" s="61">
        <v>98.26</v>
      </c>
    </row>
    <row r="48" spans="1:4" x14ac:dyDescent="0.25">
      <c r="A48" s="60">
        <v>13</v>
      </c>
      <c r="B48" s="61">
        <v>100.45</v>
      </c>
      <c r="C48" s="61">
        <v>100.49</v>
      </c>
      <c r="D48" s="61">
        <v>98.86</v>
      </c>
    </row>
    <row r="49" spans="1:4" x14ac:dyDescent="0.25">
      <c r="A49" s="60">
        <v>14</v>
      </c>
      <c r="B49" s="61">
        <v>100.59</v>
      </c>
      <c r="C49" s="61">
        <v>100.88</v>
      </c>
      <c r="D49" s="61">
        <v>99.37</v>
      </c>
    </row>
    <row r="50" spans="1:4" x14ac:dyDescent="0.25">
      <c r="A50" s="60">
        <v>15</v>
      </c>
      <c r="B50" s="61">
        <v>100.71</v>
      </c>
      <c r="C50" s="61">
        <v>102.97</v>
      </c>
      <c r="D50" s="61">
        <v>102.4</v>
      </c>
    </row>
    <row r="51" spans="1:4" x14ac:dyDescent="0.25">
      <c r="A51" s="60">
        <v>16</v>
      </c>
      <c r="B51" s="61">
        <v>101.1</v>
      </c>
      <c r="C51" s="61">
        <v>101.82</v>
      </c>
      <c r="D51" s="61">
        <v>100.86</v>
      </c>
    </row>
    <row r="52" spans="1:4" x14ac:dyDescent="0.25">
      <c r="A52" s="60">
        <v>17</v>
      </c>
      <c r="B52" s="61">
        <v>101.63</v>
      </c>
      <c r="C52" s="61">
        <v>101.45</v>
      </c>
      <c r="D52" s="61">
        <v>99.62</v>
      </c>
    </row>
    <row r="53" spans="1:4" x14ac:dyDescent="0.25">
      <c r="A53" s="60">
        <v>18</v>
      </c>
      <c r="B53" s="61">
        <v>101.18</v>
      </c>
      <c r="C53" s="61">
        <v>97.03</v>
      </c>
      <c r="D53" s="61">
        <v>93.3</v>
      </c>
    </row>
    <row r="54" spans="1:4" x14ac:dyDescent="0.25">
      <c r="A54" s="60">
        <v>19</v>
      </c>
      <c r="B54" s="61">
        <v>101.17</v>
      </c>
      <c r="C54" s="61">
        <v>99.25</v>
      </c>
      <c r="D54" s="61">
        <v>99.71</v>
      </c>
    </row>
    <row r="55" spans="1:4" x14ac:dyDescent="0.25">
      <c r="A55" s="60">
        <v>20</v>
      </c>
      <c r="B55" s="61">
        <v>101.63</v>
      </c>
      <c r="C55" s="61">
        <v>101.55</v>
      </c>
      <c r="D55" s="61">
        <v>101.76</v>
      </c>
    </row>
    <row r="56" spans="1:4" x14ac:dyDescent="0.25">
      <c r="A56" s="60">
        <v>21</v>
      </c>
      <c r="B56" s="61">
        <v>101.26</v>
      </c>
      <c r="C56" s="61">
        <v>100.32</v>
      </c>
      <c r="D56" s="61">
        <v>100.06</v>
      </c>
    </row>
    <row r="57" spans="1:4" x14ac:dyDescent="0.25">
      <c r="A57" s="60">
        <v>22</v>
      </c>
      <c r="B57" s="61">
        <v>101.34</v>
      </c>
      <c r="C57" s="61">
        <v>99.49</v>
      </c>
      <c r="D57" s="61">
        <v>98.15</v>
      </c>
    </row>
    <row r="58" spans="1:4" x14ac:dyDescent="0.25">
      <c r="A58" s="60">
        <v>23</v>
      </c>
      <c r="B58" s="61">
        <v>101.47</v>
      </c>
      <c r="C58" s="61">
        <v>98.91</v>
      </c>
      <c r="D58" s="61">
        <v>97.81</v>
      </c>
    </row>
    <row r="59" spans="1:4" x14ac:dyDescent="0.25">
      <c r="A59" s="60">
        <v>24</v>
      </c>
      <c r="B59" s="61">
        <v>101.7</v>
      </c>
      <c r="C59" s="61">
        <v>98.34</v>
      </c>
      <c r="D59" s="61">
        <v>94.23</v>
      </c>
    </row>
    <row r="60" spans="1:4" x14ac:dyDescent="0.25">
      <c r="A60" s="60">
        <v>25</v>
      </c>
      <c r="B60" s="61">
        <v>101.85</v>
      </c>
      <c r="C60" s="61">
        <v>99.52</v>
      </c>
      <c r="D60" s="61">
        <v>96.25</v>
      </c>
    </row>
    <row r="61" spans="1:4" x14ac:dyDescent="0.25">
      <c r="A61" s="60">
        <v>26</v>
      </c>
      <c r="B61" s="61">
        <v>101.34</v>
      </c>
      <c r="C61" s="61">
        <v>100.48</v>
      </c>
      <c r="D61" s="61">
        <v>98.05</v>
      </c>
    </row>
    <row r="62" spans="1:4" x14ac:dyDescent="0.25">
      <c r="A62" s="60">
        <v>27</v>
      </c>
      <c r="B62" s="61">
        <v>100.87</v>
      </c>
      <c r="C62" s="61">
        <v>100.78</v>
      </c>
      <c r="D62" s="61">
        <v>98.95</v>
      </c>
    </row>
    <row r="63" spans="1:4" x14ac:dyDescent="0.25">
      <c r="A63" s="60">
        <v>28</v>
      </c>
      <c r="B63" s="61">
        <v>100.47</v>
      </c>
      <c r="C63" s="61">
        <v>100.5</v>
      </c>
      <c r="D63" s="61">
        <v>98.78</v>
      </c>
    </row>
    <row r="64" spans="1:4" x14ac:dyDescent="0.25">
      <c r="A64" s="60">
        <v>29</v>
      </c>
      <c r="B64" s="61">
        <v>100.64</v>
      </c>
      <c r="C64" s="61">
        <v>100.69</v>
      </c>
      <c r="D64" s="61">
        <v>98.74</v>
      </c>
    </row>
    <row r="65" spans="1:4" x14ac:dyDescent="0.25">
      <c r="A65" s="60">
        <v>30</v>
      </c>
      <c r="B65" s="61">
        <v>100.64</v>
      </c>
      <c r="C65" s="61">
        <v>100.66</v>
      </c>
      <c r="D65" s="61">
        <v>98.72</v>
      </c>
    </row>
    <row r="66" spans="1:4" x14ac:dyDescent="0.25">
      <c r="A66" s="60">
        <v>31</v>
      </c>
      <c r="B66" s="61">
        <v>100.59</v>
      </c>
      <c r="C66" s="61">
        <v>100.97</v>
      </c>
      <c r="D66" s="61">
        <v>99.15</v>
      </c>
    </row>
    <row r="67" spans="1:4" x14ac:dyDescent="0.25">
      <c r="A67" s="60">
        <v>32</v>
      </c>
      <c r="B67" s="61">
        <v>100.74</v>
      </c>
      <c r="C67" s="61">
        <v>100.82</v>
      </c>
      <c r="D67" s="61">
        <v>98.69</v>
      </c>
    </row>
    <row r="68" spans="1:4" x14ac:dyDescent="0.25">
      <c r="A68" s="60">
        <v>33</v>
      </c>
      <c r="B68" s="61">
        <v>101.16</v>
      </c>
      <c r="C68" s="61">
        <v>101.07</v>
      </c>
      <c r="D68" s="61">
        <v>98.81</v>
      </c>
    </row>
    <row r="69" spans="1:4" x14ac:dyDescent="0.25">
      <c r="A69" s="60">
        <v>34</v>
      </c>
      <c r="B69" s="61">
        <v>101.12</v>
      </c>
      <c r="C69" s="61">
        <v>101.26</v>
      </c>
      <c r="D69" s="61">
        <v>99.23</v>
      </c>
    </row>
    <row r="70" spans="1:4" x14ac:dyDescent="0.25">
      <c r="A70" s="60">
        <v>35</v>
      </c>
      <c r="B70" s="61">
        <v>101.42</v>
      </c>
      <c r="C70" s="61">
        <v>101.13</v>
      </c>
      <c r="D70" s="61">
        <v>99.21</v>
      </c>
    </row>
    <row r="71" spans="1:4" x14ac:dyDescent="0.25">
      <c r="A71" s="60">
        <v>36</v>
      </c>
      <c r="B71" s="61">
        <v>101.32</v>
      </c>
      <c r="C71" s="61">
        <v>102.39</v>
      </c>
      <c r="D71" s="61">
        <v>100.38</v>
      </c>
    </row>
    <row r="72" spans="1:4" x14ac:dyDescent="0.25">
      <c r="A72" s="60">
        <v>37</v>
      </c>
      <c r="B72" s="61">
        <v>101.46</v>
      </c>
      <c r="C72" s="61">
        <v>102.04</v>
      </c>
      <c r="D72" s="61">
        <v>100.22</v>
      </c>
    </row>
    <row r="73" spans="1:4" x14ac:dyDescent="0.25">
      <c r="A73" s="60">
        <v>38</v>
      </c>
      <c r="B73" s="61">
        <v>101.6</v>
      </c>
      <c r="C73" s="61">
        <v>105.07</v>
      </c>
      <c r="D73" s="61">
        <v>104.02</v>
      </c>
    </row>
    <row r="74" spans="1:4" x14ac:dyDescent="0.25">
      <c r="A74" s="60">
        <v>39</v>
      </c>
      <c r="B74" s="61">
        <v>102.11</v>
      </c>
      <c r="C74" s="61">
        <v>105.98</v>
      </c>
      <c r="D74" s="61">
        <v>107.24</v>
      </c>
    </row>
    <row r="75" spans="1:4" x14ac:dyDescent="0.25">
      <c r="A75" s="60">
        <v>40</v>
      </c>
      <c r="B75" s="61">
        <v>102.46</v>
      </c>
      <c r="C75" s="61">
        <v>109.37</v>
      </c>
      <c r="D75" s="61">
        <v>111.27</v>
      </c>
    </row>
    <row r="76" spans="1:4" x14ac:dyDescent="0.25">
      <c r="A76" s="60">
        <v>41</v>
      </c>
      <c r="B76" s="61">
        <v>102.57</v>
      </c>
      <c r="C76" s="61">
        <v>111.28</v>
      </c>
      <c r="D76" s="61">
        <v>115.67</v>
      </c>
    </row>
    <row r="77" spans="1:4" x14ac:dyDescent="0.25">
      <c r="A77" s="60">
        <v>42</v>
      </c>
      <c r="B77" s="61">
        <v>102.83</v>
      </c>
      <c r="C77" s="61">
        <v>112.44</v>
      </c>
      <c r="D77" s="61">
        <v>116.75</v>
      </c>
    </row>
    <row r="78" spans="1:4" x14ac:dyDescent="0.25">
      <c r="A78" s="60">
        <v>43</v>
      </c>
      <c r="B78" s="61">
        <v>103.08</v>
      </c>
      <c r="C78" s="61">
        <v>115.55</v>
      </c>
      <c r="D78" s="61">
        <v>122.14</v>
      </c>
    </row>
    <row r="79" spans="1:4" x14ac:dyDescent="0.25">
      <c r="A79" s="60">
        <v>44</v>
      </c>
      <c r="B79" s="61">
        <v>103.61</v>
      </c>
      <c r="C79" s="61">
        <v>110.78</v>
      </c>
      <c r="D79" s="61">
        <v>116.12</v>
      </c>
    </row>
    <row r="80" spans="1:4" x14ac:dyDescent="0.25">
      <c r="A80" s="60">
        <v>45</v>
      </c>
      <c r="B80" s="61">
        <v>104.03</v>
      </c>
      <c r="C80" s="61">
        <v>109.12</v>
      </c>
      <c r="D80" s="61">
        <v>114.12</v>
      </c>
    </row>
    <row r="81" spans="1:4" x14ac:dyDescent="0.25">
      <c r="A81" s="60">
        <v>46</v>
      </c>
      <c r="B81" s="61">
        <v>103.99</v>
      </c>
      <c r="C81" s="61">
        <v>108.25</v>
      </c>
      <c r="D81" s="61">
        <v>112.2</v>
      </c>
    </row>
    <row r="82" spans="1:4" x14ac:dyDescent="0.25">
      <c r="A82" s="60">
        <v>47</v>
      </c>
      <c r="B82" s="61">
        <v>103.9</v>
      </c>
      <c r="C82" s="61">
        <v>108.99</v>
      </c>
      <c r="D82" s="61">
        <v>112.82</v>
      </c>
    </row>
    <row r="83" spans="1:4" x14ac:dyDescent="0.25">
      <c r="A83" s="60">
        <v>48</v>
      </c>
      <c r="B83" s="61">
        <v>103.87</v>
      </c>
      <c r="C83" s="61">
        <v>105.38</v>
      </c>
      <c r="D83" s="61">
        <v>104.73</v>
      </c>
    </row>
    <row r="84" spans="1:4" x14ac:dyDescent="0.25">
      <c r="A84" s="60">
        <v>49</v>
      </c>
      <c r="B84" s="61">
        <v>104.35</v>
      </c>
      <c r="C84" s="61">
        <v>103.94</v>
      </c>
      <c r="D84" s="61">
        <v>102.98</v>
      </c>
    </row>
    <row r="85" spans="1:4" x14ac:dyDescent="0.25">
      <c r="A85" s="60">
        <v>50</v>
      </c>
      <c r="B85" s="61">
        <v>104.56</v>
      </c>
      <c r="C85" s="61">
        <v>104.03</v>
      </c>
      <c r="D85" s="61">
        <v>103.67</v>
      </c>
    </row>
    <row r="86" spans="1:4" x14ac:dyDescent="0.25">
      <c r="A86" s="60">
        <v>51</v>
      </c>
      <c r="B86" s="61">
        <v>104.82</v>
      </c>
      <c r="C86" s="61">
        <v>104.49</v>
      </c>
      <c r="D86" s="61">
        <v>104.53</v>
      </c>
    </row>
    <row r="87" spans="1:4" x14ac:dyDescent="0.25">
      <c r="A87" s="60">
        <v>52</v>
      </c>
      <c r="B87" s="61">
        <v>104.75</v>
      </c>
      <c r="C87" s="61">
        <v>104.67</v>
      </c>
      <c r="D87" s="61">
        <v>104.71</v>
      </c>
    </row>
    <row r="88" spans="1:4" x14ac:dyDescent="0.25">
      <c r="A88" s="60">
        <v>53</v>
      </c>
      <c r="B88" s="61">
        <v>104.88</v>
      </c>
      <c r="C88" s="61">
        <v>104.4</v>
      </c>
      <c r="D88" s="61">
        <v>104.37</v>
      </c>
    </row>
    <row r="89" spans="1:4" x14ac:dyDescent="0.25">
      <c r="A89" s="60">
        <v>54</v>
      </c>
      <c r="B89" s="61">
        <v>104.98</v>
      </c>
      <c r="C89" s="61">
        <v>104.19</v>
      </c>
      <c r="D89" s="61">
        <v>103.85</v>
      </c>
    </row>
    <row r="90" spans="1:4" x14ac:dyDescent="0.25">
      <c r="A90" s="60">
        <v>55</v>
      </c>
      <c r="B90" s="61">
        <v>105.04</v>
      </c>
      <c r="C90" s="61">
        <v>104.47</v>
      </c>
      <c r="D90" s="61">
        <v>104.06</v>
      </c>
    </row>
    <row r="91" spans="1:4" x14ac:dyDescent="0.25">
      <c r="A91" s="60">
        <v>56</v>
      </c>
      <c r="B91" s="61">
        <v>105.65</v>
      </c>
      <c r="C91" s="61">
        <v>104.84</v>
      </c>
      <c r="D91" s="61">
        <v>105.06</v>
      </c>
    </row>
    <row r="92" spans="1:4" x14ac:dyDescent="0.25">
      <c r="A92" s="60">
        <v>57</v>
      </c>
      <c r="B92" s="61">
        <v>105.98</v>
      </c>
      <c r="C92" s="61">
        <v>104.64</v>
      </c>
      <c r="D92" s="61">
        <v>104.73</v>
      </c>
    </row>
    <row r="93" spans="1:4" x14ac:dyDescent="0.25">
      <c r="A93" s="60">
        <v>58</v>
      </c>
      <c r="B93" s="61">
        <v>106.16</v>
      </c>
      <c r="C93" s="61">
        <v>104.49</v>
      </c>
      <c r="D93" s="61">
        <v>105</v>
      </c>
    </row>
    <row r="94" spans="1:4" x14ac:dyDescent="0.25">
      <c r="A94" s="60">
        <v>59</v>
      </c>
      <c r="B94" s="61">
        <v>106.06</v>
      </c>
      <c r="C94" s="61">
        <v>105.3</v>
      </c>
      <c r="D94" s="61">
        <v>106.66</v>
      </c>
    </row>
    <row r="95" spans="1:4" x14ac:dyDescent="0.25">
      <c r="A95" s="60">
        <v>60</v>
      </c>
      <c r="B95" s="61">
        <v>106.22</v>
      </c>
      <c r="C95" s="61">
        <v>106.86</v>
      </c>
      <c r="D95" s="61">
        <v>108.69</v>
      </c>
    </row>
    <row r="96" spans="1:4" x14ac:dyDescent="0.25">
      <c r="A96" s="60">
        <v>61</v>
      </c>
      <c r="B96" s="61">
        <v>106.43</v>
      </c>
      <c r="C96" s="61">
        <v>108.41</v>
      </c>
      <c r="D96" s="61">
        <v>110.55</v>
      </c>
    </row>
    <row r="97" spans="1:4" x14ac:dyDescent="0.25">
      <c r="A97" s="60">
        <v>62</v>
      </c>
      <c r="B97" s="61">
        <v>106.54</v>
      </c>
      <c r="C97" s="61">
        <v>110.87</v>
      </c>
      <c r="D97" s="61">
        <v>113.79</v>
      </c>
    </row>
    <row r="98" spans="1:4" x14ac:dyDescent="0.25">
      <c r="A98" s="60">
        <v>63</v>
      </c>
      <c r="B98" s="61">
        <v>106.72</v>
      </c>
      <c r="C98" s="61">
        <v>112.97</v>
      </c>
      <c r="D98" s="61">
        <v>118.42</v>
      </c>
    </row>
    <row r="99" spans="1:4" x14ac:dyDescent="0.25">
      <c r="A99" s="60">
        <v>64</v>
      </c>
      <c r="B99" s="61">
        <v>106.6</v>
      </c>
      <c r="C99" s="61">
        <v>112.87</v>
      </c>
      <c r="D99" s="61">
        <v>117.62</v>
      </c>
    </row>
    <row r="100" spans="1:4" x14ac:dyDescent="0.25">
      <c r="A100" s="60">
        <v>65</v>
      </c>
      <c r="B100" s="61">
        <v>106.88</v>
      </c>
      <c r="C100" s="61">
        <v>112.66</v>
      </c>
      <c r="D100" s="61">
        <v>118.05</v>
      </c>
    </row>
    <row r="101" spans="1:4" x14ac:dyDescent="0.25">
      <c r="A101" s="60">
        <v>66</v>
      </c>
      <c r="B101" s="61">
        <v>107</v>
      </c>
      <c r="C101" s="61">
        <v>111.64</v>
      </c>
      <c r="D101" s="61">
        <v>118.39</v>
      </c>
    </row>
    <row r="102" spans="1:4" x14ac:dyDescent="0.25">
      <c r="A102" s="60">
        <v>67</v>
      </c>
      <c r="B102" s="61">
        <v>107</v>
      </c>
      <c r="C102" s="61">
        <v>111.39</v>
      </c>
      <c r="D102" s="61">
        <v>118.29</v>
      </c>
    </row>
    <row r="103" spans="1:4" x14ac:dyDescent="0.25">
      <c r="A103" s="60">
        <v>68</v>
      </c>
      <c r="B103" s="61">
        <v>107.54</v>
      </c>
      <c r="C103" s="61">
        <v>106.69</v>
      </c>
      <c r="D103" s="61">
        <v>107.15</v>
      </c>
    </row>
    <row r="104" spans="1:4" x14ac:dyDescent="0.25">
      <c r="A104" s="60">
        <v>69</v>
      </c>
      <c r="B104" s="61">
        <v>107.6</v>
      </c>
      <c r="C104" s="61">
        <v>107.61</v>
      </c>
      <c r="D104" s="61">
        <v>108.24</v>
      </c>
    </row>
    <row r="105" spans="1:4" x14ac:dyDescent="0.25">
      <c r="A105" s="60">
        <v>70</v>
      </c>
      <c r="B105" s="61">
        <v>107.95</v>
      </c>
      <c r="C105" s="61">
        <v>107.19</v>
      </c>
      <c r="D105" s="61">
        <v>108.26</v>
      </c>
    </row>
    <row r="106" spans="1:4" x14ac:dyDescent="0.25">
      <c r="A106" s="60">
        <v>71</v>
      </c>
      <c r="B106" s="61">
        <v>107.92</v>
      </c>
      <c r="C106" s="61">
        <v>107.31</v>
      </c>
      <c r="D106" s="61">
        <v>108.37</v>
      </c>
    </row>
    <row r="107" spans="1:4" x14ac:dyDescent="0.25">
      <c r="A107" s="60">
        <v>72</v>
      </c>
      <c r="B107" s="61">
        <v>107.87</v>
      </c>
      <c r="C107" s="61">
        <v>107.59</v>
      </c>
      <c r="D107" s="61">
        <v>108.83</v>
      </c>
    </row>
    <row r="108" spans="1:4" x14ac:dyDescent="0.25">
      <c r="A108" s="60">
        <v>73</v>
      </c>
      <c r="B108" s="61">
        <v>107.96</v>
      </c>
      <c r="C108" s="61">
        <v>107.28</v>
      </c>
      <c r="D108" s="61">
        <v>108.88</v>
      </c>
    </row>
    <row r="109" spans="1:4" x14ac:dyDescent="0.25">
      <c r="A109" s="60">
        <v>74</v>
      </c>
      <c r="B109" s="61">
        <v>107.84</v>
      </c>
      <c r="C109" s="61">
        <v>106.8</v>
      </c>
      <c r="D109" s="61">
        <v>107.77</v>
      </c>
    </row>
    <row r="110" spans="1:4" x14ac:dyDescent="0.25">
      <c r="A110" s="60">
        <v>75</v>
      </c>
      <c r="B110" s="61">
        <v>107.53</v>
      </c>
      <c r="C110" s="61">
        <v>106</v>
      </c>
      <c r="D110" s="61">
        <v>107.87</v>
      </c>
    </row>
    <row r="111" spans="1:4" x14ac:dyDescent="0.25">
      <c r="A111" s="60">
        <v>76</v>
      </c>
      <c r="B111" s="61">
        <v>106.82</v>
      </c>
      <c r="C111" s="61">
        <v>106.55</v>
      </c>
      <c r="D111" s="61">
        <v>107.65</v>
      </c>
    </row>
    <row r="112" spans="1:4" x14ac:dyDescent="0.25">
      <c r="A112" s="60">
        <v>77</v>
      </c>
      <c r="B112" s="61">
        <v>107.09</v>
      </c>
      <c r="C112" s="61">
        <v>106.86</v>
      </c>
      <c r="D112" s="61">
        <v>109.43</v>
      </c>
    </row>
    <row r="113" spans="1:4" x14ac:dyDescent="0.25">
      <c r="A113" s="60">
        <v>78</v>
      </c>
      <c r="B113" s="61">
        <v>107.06</v>
      </c>
      <c r="C113" s="61">
        <v>107.54</v>
      </c>
      <c r="D113" s="61">
        <v>108.61</v>
      </c>
    </row>
    <row r="114" spans="1:4" x14ac:dyDescent="0.25">
      <c r="A114" s="60">
        <v>79</v>
      </c>
      <c r="B114" s="61">
        <v>107.43</v>
      </c>
      <c r="C114" s="61">
        <v>108.93</v>
      </c>
      <c r="D114" s="61">
        <v>110.42</v>
      </c>
    </row>
    <row r="115" spans="1:4" x14ac:dyDescent="0.25">
      <c r="A115" s="60">
        <v>80</v>
      </c>
      <c r="B115" s="61">
        <v>107.17</v>
      </c>
      <c r="C115" s="61">
        <v>108.23</v>
      </c>
      <c r="D115" s="61">
        <v>110.13</v>
      </c>
    </row>
    <row r="116" spans="1:4" x14ac:dyDescent="0.25">
      <c r="A116" s="60">
        <v>81</v>
      </c>
      <c r="B116" s="61">
        <v>107.46</v>
      </c>
      <c r="C116" s="61">
        <v>111.39</v>
      </c>
      <c r="D116" s="61">
        <v>115.85</v>
      </c>
    </row>
    <row r="117" spans="1:4" x14ac:dyDescent="0.25">
      <c r="A117" s="60">
        <v>82</v>
      </c>
      <c r="B117" s="61">
        <v>107.73</v>
      </c>
      <c r="C117" s="61">
        <v>111.69</v>
      </c>
      <c r="D117" s="61">
        <v>116.85</v>
      </c>
    </row>
    <row r="118" spans="1:4" x14ac:dyDescent="0.25">
      <c r="A118" s="60">
        <v>83</v>
      </c>
      <c r="B118" s="61">
        <v>108.26</v>
      </c>
      <c r="C118" s="61">
        <v>113.81</v>
      </c>
      <c r="D118" s="61">
        <v>121.35</v>
      </c>
    </row>
    <row r="119" spans="1:4" x14ac:dyDescent="0.25">
      <c r="A119" s="60">
        <v>84</v>
      </c>
      <c r="B119" s="61">
        <v>108.06</v>
      </c>
      <c r="C119" s="61">
        <v>112.31</v>
      </c>
      <c r="D119" s="61">
        <v>120.86</v>
      </c>
    </row>
    <row r="120" spans="1:4" x14ac:dyDescent="0.25">
      <c r="A120" s="60">
        <v>85</v>
      </c>
      <c r="B120" s="61">
        <v>108.17</v>
      </c>
      <c r="C120" s="61">
        <v>109.01</v>
      </c>
      <c r="D120" s="61">
        <v>112.59</v>
      </c>
    </row>
    <row r="121" spans="1:4" x14ac:dyDescent="0.25">
      <c r="A121" s="60">
        <v>86</v>
      </c>
      <c r="B121" s="61">
        <v>108.3</v>
      </c>
      <c r="C121" s="61">
        <v>108.38</v>
      </c>
      <c r="D121" s="61">
        <v>111.32</v>
      </c>
    </row>
    <row r="122" spans="1:4" x14ac:dyDescent="0.25">
      <c r="A122" s="60">
        <v>87</v>
      </c>
      <c r="B122" s="61">
        <v>108.9</v>
      </c>
      <c r="C122" s="61">
        <v>111.14</v>
      </c>
      <c r="D122" s="61">
        <v>114.32</v>
      </c>
    </row>
    <row r="123" spans="1:4" x14ac:dyDescent="0.25">
      <c r="A123" s="60">
        <v>88</v>
      </c>
      <c r="B123" s="61">
        <v>108.8</v>
      </c>
      <c r="C123" s="61">
        <v>109.91</v>
      </c>
      <c r="D123" s="61">
        <v>113</v>
      </c>
    </row>
    <row r="124" spans="1:4" x14ac:dyDescent="0.25">
      <c r="A124" s="60">
        <v>89</v>
      </c>
      <c r="B124" s="61">
        <v>109.48</v>
      </c>
      <c r="C124" s="61">
        <v>108.35</v>
      </c>
      <c r="D124" s="61">
        <v>110.34</v>
      </c>
    </row>
    <row r="125" spans="1:4" x14ac:dyDescent="0.25">
      <c r="A125" s="60">
        <v>90</v>
      </c>
      <c r="B125" s="61">
        <v>109.61</v>
      </c>
      <c r="C125" s="61">
        <v>108.19</v>
      </c>
      <c r="D125" s="61">
        <v>110.1</v>
      </c>
    </row>
    <row r="126" spans="1:4" x14ac:dyDescent="0.25">
      <c r="A126" s="60">
        <v>91</v>
      </c>
      <c r="B126" s="61">
        <v>109.61</v>
      </c>
      <c r="C126" s="61">
        <v>108.47</v>
      </c>
      <c r="D126" s="61">
        <v>110.18</v>
      </c>
    </row>
    <row r="127" spans="1:4" x14ac:dyDescent="0.25">
      <c r="A127" s="60">
        <v>92</v>
      </c>
      <c r="B127" s="61">
        <v>109.53</v>
      </c>
      <c r="C127" s="61">
        <v>108.48</v>
      </c>
      <c r="D127" s="61">
        <v>110.55</v>
      </c>
    </row>
    <row r="128" spans="1:4" x14ac:dyDescent="0.25">
      <c r="A128" s="60">
        <v>93</v>
      </c>
      <c r="B128" s="61">
        <v>109.76</v>
      </c>
      <c r="C128" s="61">
        <v>108.88</v>
      </c>
      <c r="D128" s="61">
        <v>110.94</v>
      </c>
    </row>
    <row r="129" spans="1:4" x14ac:dyDescent="0.25">
      <c r="A129" s="60">
        <v>94</v>
      </c>
      <c r="B129" s="61">
        <v>109.66</v>
      </c>
      <c r="C129" s="61">
        <v>108.52</v>
      </c>
      <c r="D129" s="61">
        <v>110.58</v>
      </c>
    </row>
    <row r="130" spans="1:4" x14ac:dyDescent="0.25">
      <c r="A130" s="60">
        <v>95</v>
      </c>
      <c r="B130" s="61">
        <v>109.41</v>
      </c>
      <c r="C130" s="61">
        <v>109.18</v>
      </c>
      <c r="D130" s="61">
        <v>111.37</v>
      </c>
    </row>
    <row r="131" spans="1:4" x14ac:dyDescent="0.25">
      <c r="A131" s="60">
        <v>96</v>
      </c>
      <c r="B131" s="61">
        <v>109.61</v>
      </c>
      <c r="C131" s="61">
        <v>109.07</v>
      </c>
      <c r="D131" s="61">
        <v>111.39</v>
      </c>
    </row>
    <row r="132" spans="1:4" x14ac:dyDescent="0.25">
      <c r="A132" s="60">
        <v>97</v>
      </c>
      <c r="B132" s="61">
        <v>109.84</v>
      </c>
      <c r="C132" s="61">
        <v>109.1</v>
      </c>
      <c r="D132" s="61">
        <v>111.67</v>
      </c>
    </row>
    <row r="133" spans="1:4" x14ac:dyDescent="0.25">
      <c r="A133" s="60">
        <v>98</v>
      </c>
      <c r="B133" s="61">
        <v>110.06</v>
      </c>
      <c r="C133" s="61">
        <v>107.94</v>
      </c>
      <c r="D133" s="61">
        <v>109.06</v>
      </c>
    </row>
    <row r="134" spans="1:4" x14ac:dyDescent="0.25">
      <c r="A134" s="60">
        <v>99</v>
      </c>
      <c r="B134" s="61">
        <v>110.04</v>
      </c>
      <c r="C134" s="61">
        <v>108.54</v>
      </c>
      <c r="D134" s="61">
        <v>110.61</v>
      </c>
    </row>
    <row r="135" spans="1:4" x14ac:dyDescent="0.25">
      <c r="A135" s="60">
        <v>100</v>
      </c>
      <c r="B135" s="61">
        <v>109.86</v>
      </c>
      <c r="C135" s="61">
        <v>107.78</v>
      </c>
      <c r="D135" s="61">
        <v>108.35</v>
      </c>
    </row>
    <row r="136" spans="1:4" x14ac:dyDescent="0.25">
      <c r="A136" s="60">
        <v>101</v>
      </c>
      <c r="B136" s="61">
        <v>110.27</v>
      </c>
      <c r="C136" s="61">
        <v>109.83</v>
      </c>
      <c r="D136" s="61">
        <v>112.36</v>
      </c>
    </row>
    <row r="137" spans="1:4" x14ac:dyDescent="0.25">
      <c r="A137" s="60">
        <v>102</v>
      </c>
      <c r="B137" s="61">
        <v>110.49</v>
      </c>
      <c r="C137" s="61">
        <v>110.15</v>
      </c>
      <c r="D137" s="61">
        <v>112.65</v>
      </c>
    </row>
    <row r="138" spans="1:4" x14ac:dyDescent="0.25">
      <c r="A138" s="60">
        <v>103</v>
      </c>
      <c r="B138" s="61">
        <v>110.61</v>
      </c>
      <c r="C138" s="61">
        <v>110.64</v>
      </c>
      <c r="D138" s="61">
        <v>115.56</v>
      </c>
    </row>
    <row r="139" spans="1:4" x14ac:dyDescent="0.25">
      <c r="A139" s="60">
        <v>104</v>
      </c>
      <c r="B139" s="61">
        <v>110.68</v>
      </c>
      <c r="C139" s="61">
        <v>113.34</v>
      </c>
      <c r="D139" s="61">
        <v>118.69</v>
      </c>
    </row>
    <row r="140" spans="1:4" x14ac:dyDescent="0.25">
      <c r="A140" s="60">
        <v>105</v>
      </c>
      <c r="B140" s="61">
        <v>110.86</v>
      </c>
      <c r="C140" s="61">
        <v>111.87</v>
      </c>
      <c r="D140" s="61">
        <v>118.86</v>
      </c>
    </row>
    <row r="141" spans="1:4" x14ac:dyDescent="0.25">
      <c r="A141" s="60">
        <v>106</v>
      </c>
      <c r="B141" s="61">
        <v>111.13</v>
      </c>
      <c r="C141" s="61">
        <v>111.45</v>
      </c>
      <c r="D141" s="61">
        <v>114.47</v>
      </c>
    </row>
    <row r="142" spans="1:4" x14ac:dyDescent="0.25">
      <c r="A142" s="60">
        <v>107</v>
      </c>
      <c r="B142" s="61">
        <v>111.5</v>
      </c>
      <c r="C142" s="61">
        <v>110.12</v>
      </c>
      <c r="D142" s="61">
        <v>114.1</v>
      </c>
    </row>
    <row r="143" spans="1:4" x14ac:dyDescent="0.25">
      <c r="A143" s="60">
        <v>108</v>
      </c>
      <c r="B143" s="61">
        <v>111.56</v>
      </c>
      <c r="C143" s="61">
        <v>112.73</v>
      </c>
      <c r="D143" s="61">
        <v>116.42</v>
      </c>
    </row>
    <row r="144" spans="1:4" x14ac:dyDescent="0.25">
      <c r="A144" s="60">
        <v>109</v>
      </c>
      <c r="B144" s="61">
        <v>111.89</v>
      </c>
      <c r="C144" s="61">
        <v>113.06</v>
      </c>
      <c r="D144" s="61">
        <v>115.24</v>
      </c>
    </row>
    <row r="145" spans="1:4" x14ac:dyDescent="0.25">
      <c r="A145" s="60">
        <v>110</v>
      </c>
      <c r="B145" s="61">
        <v>111.88</v>
      </c>
      <c r="C145" s="61">
        <v>111.63</v>
      </c>
      <c r="D145" s="61">
        <v>112.54</v>
      </c>
    </row>
    <row r="146" spans="1:4" x14ac:dyDescent="0.25">
      <c r="A146" s="60">
        <v>111</v>
      </c>
      <c r="B146" s="61">
        <v>111.73</v>
      </c>
      <c r="C146" s="61">
        <v>111.99</v>
      </c>
      <c r="D146" s="61">
        <v>113.32</v>
      </c>
    </row>
    <row r="147" spans="1:4" x14ac:dyDescent="0.25">
      <c r="A147" s="60">
        <v>112</v>
      </c>
      <c r="B147" s="61">
        <v>111.89</v>
      </c>
      <c r="C147" s="61">
        <v>112.22</v>
      </c>
      <c r="D147" s="61">
        <v>113.76</v>
      </c>
    </row>
    <row r="148" spans="1:4" x14ac:dyDescent="0.25">
      <c r="A148" s="60">
        <v>113</v>
      </c>
      <c r="B148" s="61">
        <v>111.83</v>
      </c>
      <c r="C148" s="61">
        <v>112.37</v>
      </c>
      <c r="D148" s="61">
        <v>114.28</v>
      </c>
    </row>
    <row r="149" spans="1:4" x14ac:dyDescent="0.25">
      <c r="A149" s="60">
        <v>114</v>
      </c>
      <c r="B149" s="61">
        <v>112.23</v>
      </c>
      <c r="C149" s="61">
        <v>112.29</v>
      </c>
      <c r="D149" s="61">
        <v>114.73</v>
      </c>
    </row>
    <row r="150" spans="1:4" x14ac:dyDescent="0.25">
      <c r="A150" s="60">
        <v>115</v>
      </c>
      <c r="B150" s="61">
        <v>112.67</v>
      </c>
      <c r="C150" s="61">
        <v>112.62</v>
      </c>
      <c r="D150" s="61">
        <v>115.41</v>
      </c>
    </row>
    <row r="151" spans="1:4" x14ac:dyDescent="0.25">
      <c r="A151" s="60">
        <v>116</v>
      </c>
      <c r="B151" s="61">
        <v>112.81</v>
      </c>
      <c r="C151" s="61">
        <v>110.5</v>
      </c>
      <c r="D151" s="61">
        <v>112.72</v>
      </c>
    </row>
    <row r="152" spans="1:4" x14ac:dyDescent="0.25">
      <c r="A152" s="60">
        <v>117</v>
      </c>
      <c r="B152" s="61">
        <v>112.86</v>
      </c>
      <c r="C152" s="61">
        <v>111.55</v>
      </c>
      <c r="D152" s="61">
        <v>113.59</v>
      </c>
    </row>
    <row r="153" spans="1:4" x14ac:dyDescent="0.25">
      <c r="A153" s="60">
        <v>118</v>
      </c>
      <c r="B153" s="61">
        <v>113.06</v>
      </c>
      <c r="C153" s="61">
        <v>111.76</v>
      </c>
      <c r="D153" s="61">
        <v>113.51</v>
      </c>
    </row>
    <row r="154" spans="1:4" x14ac:dyDescent="0.25">
      <c r="A154" s="60">
        <v>119</v>
      </c>
      <c r="B154" s="61">
        <v>112.9</v>
      </c>
      <c r="C154" s="61">
        <v>112.04</v>
      </c>
      <c r="D154" s="61">
        <v>115.03</v>
      </c>
    </row>
    <row r="155" spans="1:4" x14ac:dyDescent="0.25">
      <c r="A155" s="60">
        <v>120</v>
      </c>
      <c r="B155" s="61">
        <v>112.83</v>
      </c>
      <c r="C155" s="61">
        <v>112.1</v>
      </c>
      <c r="D155" s="61">
        <v>114.58</v>
      </c>
    </row>
    <row r="156" spans="1:4" x14ac:dyDescent="0.25">
      <c r="A156" s="60">
        <v>121</v>
      </c>
      <c r="B156" s="61">
        <v>113.27</v>
      </c>
      <c r="C156" s="61">
        <v>111.33</v>
      </c>
      <c r="D156" s="61">
        <v>114.92</v>
      </c>
    </row>
    <row r="157" spans="1:4" x14ac:dyDescent="0.25">
      <c r="A157" s="60">
        <v>122</v>
      </c>
      <c r="B157" s="61">
        <v>113.71</v>
      </c>
      <c r="C157" s="61">
        <v>110.09</v>
      </c>
      <c r="D157" s="61">
        <v>114.63</v>
      </c>
    </row>
    <row r="158" spans="1:4" x14ac:dyDescent="0.25">
      <c r="A158" s="60">
        <v>123</v>
      </c>
      <c r="B158" s="61">
        <v>113.7</v>
      </c>
      <c r="C158" s="61">
        <v>111.07</v>
      </c>
      <c r="D158" s="61">
        <v>116.39</v>
      </c>
    </row>
    <row r="159" spans="1:4" x14ac:dyDescent="0.25">
      <c r="A159" s="60">
        <v>124</v>
      </c>
      <c r="B159" s="61">
        <v>113.34</v>
      </c>
      <c r="C159" s="61">
        <v>113.11</v>
      </c>
      <c r="D159" s="61">
        <v>117.4</v>
      </c>
    </row>
    <row r="160" spans="1:4" x14ac:dyDescent="0.25">
      <c r="A160" s="60">
        <v>125</v>
      </c>
      <c r="B160" s="61">
        <v>113.34</v>
      </c>
      <c r="C160" s="61">
        <v>112.89</v>
      </c>
      <c r="D160" s="61">
        <v>117.3</v>
      </c>
    </row>
    <row r="161" spans="1:4" x14ac:dyDescent="0.25">
      <c r="A161" s="60">
        <v>126</v>
      </c>
      <c r="B161" s="61">
        <v>113.38</v>
      </c>
      <c r="C161" s="61">
        <v>112.78</v>
      </c>
      <c r="D161" s="61">
        <v>118.78</v>
      </c>
    </row>
    <row r="162" spans="1:4" x14ac:dyDescent="0.25">
      <c r="A162" s="60">
        <v>127</v>
      </c>
      <c r="B162" s="61">
        <v>113.54</v>
      </c>
      <c r="C162" s="61">
        <v>112.86</v>
      </c>
      <c r="D162" s="61">
        <v>120.2</v>
      </c>
    </row>
    <row r="163" spans="1:4" x14ac:dyDescent="0.25">
      <c r="A163" s="60">
        <v>128</v>
      </c>
      <c r="B163" s="61">
        <v>113.57</v>
      </c>
      <c r="C163" s="61">
        <v>113.18</v>
      </c>
      <c r="D163" s="61">
        <v>116.48</v>
      </c>
    </row>
    <row r="164" spans="1:4" x14ac:dyDescent="0.25">
      <c r="A164" s="60">
        <v>129</v>
      </c>
      <c r="B164" s="61">
        <v>113.35</v>
      </c>
      <c r="C164" s="61">
        <v>113.7</v>
      </c>
      <c r="D164" s="61">
        <v>117.2</v>
      </c>
    </row>
    <row r="165" spans="1:4" x14ac:dyDescent="0.25">
      <c r="A165" s="60">
        <v>130</v>
      </c>
      <c r="B165" s="61">
        <v>113.61</v>
      </c>
      <c r="C165" s="61">
        <v>113.37</v>
      </c>
      <c r="D165" s="61">
        <v>116.53</v>
      </c>
    </row>
  </sheetData>
  <mergeCells count="2">
    <mergeCell ref="A1:D1"/>
    <mergeCell ref="A2:D2"/>
  </mergeCells>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Executive Summary</vt:lpstr>
      <vt:lpstr>YoY Fundamentals</vt:lpstr>
      <vt:lpstr>The N-Pattern Visualized</vt:lpstr>
      <vt:lpstr>Probability Scorecard</vt:lpstr>
      <vt:lpstr>Hypothesis Tests</vt:lpstr>
      <vt:lpstr>Midterm Cycle Effect</vt:lpstr>
      <vt:lpstr>Data - SPX</vt:lpstr>
      <vt:lpstr>Data - DJI</vt:lpstr>
      <vt:lpstr>Data - NASDAQ</vt:lpstr>
      <vt:lpstr>Data - Avg Path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Shubham Ghag</cp:lastModifiedBy>
  <cp:revision>1</cp:revision>
  <dcterms:created xsi:type="dcterms:W3CDTF">2026-11-01T15:58:39Z</dcterms:created>
  <dcterms:modified xsi:type="dcterms:W3CDTF">2026-11-01T17:55:06Z</dcterms:modified>
  <dc:language>en-US</dc:language>
</cp:coreProperties>
</file>